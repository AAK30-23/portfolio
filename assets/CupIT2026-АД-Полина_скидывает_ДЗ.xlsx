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Настя\4_Курс\Хакатон\P&amp;G\CupIT2026-АД-Полина_скидывает_ДЗ\"/>
    </mc:Choice>
  </mc:AlternateContent>
  <xr:revisionPtr revIDLastSave="0" documentId="13_ncr:1_{16344A88-4A50-41D3-AD77-21CA16E9E698}" xr6:coauthVersionLast="47" xr6:coauthVersionMax="47" xr10:uidLastSave="{00000000-0000-0000-0000-000000000000}"/>
  <bookViews>
    <workbookView xWindow="-108" yWindow="-108" windowWidth="23256" windowHeight="12456" xr2:uid="{00000000-000D-0000-FFFF-FFFF00000000}"/>
  </bookViews>
  <sheets>
    <sheet name="Сводка" sheetId="1" r:id="rId1"/>
    <sheet name="Допущения" sheetId="2" r:id="rId2"/>
    <sheet name="Прогноз_Выручки" sheetId="3" r:id="rId3"/>
    <sheet name="Затраты" sheetId="4" r:id="rId4"/>
    <sheet name="Денежные_потоки" sheetId="5" r:id="rId5"/>
    <sheet name="Метрики_Итог" sheetId="7" r:id="rId6"/>
    <sheet name="Графики" sheetId="8" r:id="rId7"/>
    <sheet name="Анализ" sheetId="9"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9" i="1" l="1"/>
  <c r="C7" i="2"/>
  <c r="C26" i="7"/>
  <c r="C25" i="7"/>
  <c r="C6" i="5"/>
  <c r="C7" i="5" s="1"/>
  <c r="C9" i="5" s="1"/>
  <c r="D33" i="4"/>
  <c r="D32" i="4"/>
  <c r="D20" i="4"/>
  <c r="D19" i="4"/>
  <c r="D18" i="4"/>
  <c r="C8" i="3"/>
  <c r="D8" i="3" s="1"/>
  <c r="C6" i="3"/>
  <c r="D37" i="2"/>
  <c r="D34" i="4" s="1"/>
  <c r="D36" i="2"/>
  <c r="D35" i="2"/>
  <c r="D8" i="4" s="1"/>
  <c r="D34" i="2"/>
  <c r="D33" i="2"/>
  <c r="D30" i="4" s="1"/>
  <c r="E25" i="2"/>
  <c r="D25" i="2"/>
  <c r="C25" i="2"/>
  <c r="E16" i="2"/>
  <c r="D16" i="2"/>
  <c r="C7" i="3" s="1"/>
  <c r="C16" i="2"/>
  <c r="B32" i="1"/>
  <c r="B31" i="1"/>
  <c r="B30" i="1"/>
  <c r="D22" i="4" l="1"/>
  <c r="D6" i="4"/>
  <c r="D10" i="4"/>
  <c r="C16" i="3"/>
  <c r="D7" i="3"/>
  <c r="F36" i="4"/>
  <c r="D44" i="4" s="1"/>
  <c r="C9" i="3"/>
  <c r="D6" i="3"/>
  <c r="D17" i="3"/>
  <c r="D26" i="3" s="1"/>
  <c r="E33" i="3" s="1"/>
  <c r="E8" i="3"/>
  <c r="C10" i="5"/>
  <c r="C11" i="5" s="1"/>
  <c r="D31" i="4"/>
  <c r="G36" i="4" s="1"/>
  <c r="E44" i="4" s="1"/>
  <c r="D7" i="4"/>
  <c r="C24" i="3"/>
  <c r="C32" i="3" s="1"/>
  <c r="B46" i="8"/>
  <c r="D9" i="4"/>
  <c r="D21" i="4"/>
  <c r="E24" i="4" s="1"/>
  <c r="C15" i="3"/>
  <c r="H36" i="4"/>
  <c r="F44" i="4" s="1"/>
  <c r="C17" i="3"/>
  <c r="G12" i="4"/>
  <c r="E42" i="4" s="1"/>
  <c r="F24" i="4" l="1"/>
  <c r="D43" i="4" s="1"/>
  <c r="C43" i="4"/>
  <c r="H12" i="4"/>
  <c r="F42" i="4" s="1"/>
  <c r="E12" i="4"/>
  <c r="F8" i="3"/>
  <c r="E17" i="3"/>
  <c r="E26" i="3"/>
  <c r="E34" i="3" s="1"/>
  <c r="F12" i="4"/>
  <c r="D42" i="4" s="1"/>
  <c r="D45" i="4" s="1"/>
  <c r="C18" i="3"/>
  <c r="E36" i="4"/>
  <c r="I36" i="4"/>
  <c r="G44" i="4" s="1"/>
  <c r="I12" i="4"/>
  <c r="G42" i="4" s="1"/>
  <c r="C46" i="8"/>
  <c r="H24" i="4"/>
  <c r="F43" i="4" s="1"/>
  <c r="D15" i="3"/>
  <c r="D24" i="3" s="1"/>
  <c r="D9" i="3"/>
  <c r="E6" i="3"/>
  <c r="E7" i="3"/>
  <c r="D25" i="3"/>
  <c r="D33" i="3" s="1"/>
  <c r="D16" i="3"/>
  <c r="G24" i="4"/>
  <c r="E43" i="4" s="1"/>
  <c r="E45" i="4" s="1"/>
  <c r="C26" i="3"/>
  <c r="I24" i="4"/>
  <c r="G43" i="4" s="1"/>
  <c r="C25" i="3"/>
  <c r="D32" i="3" s="1"/>
  <c r="D27" i="3" l="1"/>
  <c r="C33" i="3"/>
  <c r="C27" i="3"/>
  <c r="E32" i="3"/>
  <c r="G45" i="4"/>
  <c r="C28" i="8" s="1"/>
  <c r="C25" i="8"/>
  <c r="E8" i="5"/>
  <c r="E26" i="7" s="1"/>
  <c r="H8" i="5"/>
  <c r="H26" i="7" s="1"/>
  <c r="D18" i="3"/>
  <c r="F6" i="3"/>
  <c r="E15" i="3"/>
  <c r="E18" i="3" s="1"/>
  <c r="E9" i="3"/>
  <c r="C26" i="8"/>
  <c r="F8" i="5"/>
  <c r="F26" i="7" s="1"/>
  <c r="D19" i="7"/>
  <c r="C44" i="4"/>
  <c r="F17" i="3"/>
  <c r="F26" i="3" s="1"/>
  <c r="E35" i="3" s="1"/>
  <c r="G8" i="3"/>
  <c r="E16" i="3"/>
  <c r="E25" i="3" s="1"/>
  <c r="D34" i="3" s="1"/>
  <c r="F7" i="3"/>
  <c r="B24" i="8"/>
  <c r="D5" i="5"/>
  <c r="D17" i="7"/>
  <c r="C42" i="4"/>
  <c r="C45" i="4" s="1"/>
  <c r="D18" i="7"/>
  <c r="F45" i="4"/>
  <c r="B26" i="8" l="1"/>
  <c r="F5" i="5"/>
  <c r="E24" i="3"/>
  <c r="F9" i="3"/>
  <c r="G6" i="3"/>
  <c r="F15" i="3"/>
  <c r="F18" i="3" s="1"/>
  <c r="C24" i="8"/>
  <c r="D8" i="5"/>
  <c r="D26" i="7" s="1"/>
  <c r="C12" i="5"/>
  <c r="C13" i="5" s="1"/>
  <c r="G7" i="3"/>
  <c r="F16" i="3"/>
  <c r="F25" i="3" s="1"/>
  <c r="D35" i="3" s="1"/>
  <c r="D25" i="7"/>
  <c r="D6" i="5"/>
  <c r="D7" i="5" s="1"/>
  <c r="C27" i="8"/>
  <c r="G8" i="5"/>
  <c r="G26" i="7" s="1"/>
  <c r="E5" i="5"/>
  <c r="B25" i="8"/>
  <c r="G17" i="3"/>
  <c r="C19" i="7" s="1"/>
  <c r="E19" i="7" s="1"/>
  <c r="E27" i="3" l="1"/>
  <c r="C34" i="3"/>
  <c r="I26" i="7"/>
  <c r="D9" i="5"/>
  <c r="D10" i="5"/>
  <c r="D11" i="5" s="1"/>
  <c r="G16" i="3"/>
  <c r="C18" i="7" s="1"/>
  <c r="E18" i="7" s="1"/>
  <c r="B27" i="8"/>
  <c r="G5" i="5"/>
  <c r="F25" i="7"/>
  <c r="F6" i="5"/>
  <c r="F7" i="5" s="1"/>
  <c r="F9" i="5" s="1"/>
  <c r="C14" i="5"/>
  <c r="C15" i="5" s="1"/>
  <c r="C27" i="7"/>
  <c r="F24" i="3"/>
  <c r="G26" i="3"/>
  <c r="E36" i="3" s="1"/>
  <c r="G9" i="3"/>
  <c r="G15" i="3"/>
  <c r="G18" i="3" s="1"/>
  <c r="C11" i="7" s="1"/>
  <c r="C13" i="1" s="1"/>
  <c r="E6" i="5"/>
  <c r="E7" i="5" s="1"/>
  <c r="E9" i="5" s="1"/>
  <c r="E25" i="7"/>
  <c r="C17" i="7" l="1"/>
  <c r="E17" i="7" s="1"/>
  <c r="C10" i="7"/>
  <c r="G24" i="3"/>
  <c r="C36" i="3" s="1"/>
  <c r="F27" i="3"/>
  <c r="C35" i="3"/>
  <c r="F10" i="5"/>
  <c r="F11" i="5" s="1"/>
  <c r="F13" i="5" s="1"/>
  <c r="E10" i="5"/>
  <c r="E11" i="5" s="1"/>
  <c r="D13" i="5"/>
  <c r="B3" i="8"/>
  <c r="C28" i="7"/>
  <c r="G25" i="7"/>
  <c r="G6" i="5"/>
  <c r="G7" i="5" s="1"/>
  <c r="G9" i="5" s="1"/>
  <c r="G27" i="3"/>
  <c r="B28" i="8"/>
  <c r="H5" i="5"/>
  <c r="G25" i="3"/>
  <c r="D36" i="3" s="1"/>
  <c r="G10" i="5" l="1"/>
  <c r="G11" i="5" s="1"/>
  <c r="E13" i="5"/>
  <c r="F27" i="7"/>
  <c r="F14" i="5"/>
  <c r="D27" i="7"/>
  <c r="D14" i="5"/>
  <c r="D15" i="5" s="1"/>
  <c r="H25" i="7"/>
  <c r="I25" i="7" s="1"/>
  <c r="H6" i="5"/>
  <c r="H7" i="5" s="1"/>
  <c r="H9" i="5" s="1"/>
  <c r="H10" i="5" l="1"/>
  <c r="H11" i="5" s="1"/>
  <c r="G13" i="5"/>
  <c r="B4" i="8"/>
  <c r="D28" i="7"/>
  <c r="E14" i="5"/>
  <c r="E15" i="5" s="1"/>
  <c r="E27" i="7"/>
  <c r="B5" i="8" l="1"/>
  <c r="E28" i="7"/>
  <c r="F15" i="5"/>
  <c r="H13" i="5"/>
  <c r="C8" i="7"/>
  <c r="C11" i="1" s="1"/>
  <c r="G27" i="7"/>
  <c r="G14" i="5"/>
  <c r="C7" i="7"/>
  <c r="C10" i="1" s="1"/>
  <c r="H27" i="7" l="1"/>
  <c r="H14" i="5"/>
  <c r="C12" i="7"/>
  <c r="B6" i="8"/>
  <c r="F28" i="7"/>
  <c r="G15" i="5"/>
  <c r="I27" i="7"/>
  <c r="B7" i="8" l="1"/>
  <c r="G28" i="7"/>
  <c r="H15" i="5"/>
  <c r="C9" i="7"/>
  <c r="C12" i="1" s="1"/>
  <c r="B8" i="8" l="1"/>
  <c r="H28" i="7"/>
  <c r="C6" i="7"/>
  <c r="D46" i="8" l="1"/>
  <c r="C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C7" authorId="0" shapeId="0" xr:uid="{00000000-0006-0000-0100-000001000000}">
      <text>
        <r>
          <rPr>
            <sz val="11"/>
            <color rgb="FF000000"/>
            <rFont val="Calibri"/>
            <family val="2"/>
            <charset val="204"/>
            <scheme val="minor"/>
          </rPr>
          <t>WACC используется как ставка дисконтирования для NPV/DCF.</t>
        </r>
      </text>
    </comment>
    <comment ref="C8" authorId="0" shapeId="0" xr:uid="{00000000-0006-0000-0100-000002000000}">
      <text>
        <r>
          <rPr>
            <sz val="11"/>
            <color rgb="FF000000"/>
            <rFont val="Calibri"/>
            <family val="2"/>
            <charset val="204"/>
            <scheme val="minor"/>
          </rPr>
          <t>Ставка налога на прибыль, на которую ссылается лист денежных потоков.</t>
        </r>
      </text>
    </comment>
    <comment ref="C23" authorId="0" shapeId="0" xr:uid="{00000000-0006-0000-0100-000003000000}">
      <text>
        <r>
          <rPr>
            <sz val="11"/>
            <color rgb="FF000000"/>
            <rFont val="Calibri"/>
            <family val="2"/>
            <charset val="204"/>
            <scheme val="minor"/>
          </rPr>
          <t>Консервативный сценарий: эффект снижен относительно исходной версии модели, а выход на полный эффект сделан постепенным.</t>
        </r>
      </text>
    </comment>
    <comment ref="D23" authorId="0" shapeId="0" xr:uid="{00000000-0006-0000-0100-000004000000}">
      <text>
        <r>
          <rPr>
            <sz val="11"/>
            <color rgb="FF000000"/>
            <rFont val="Calibri"/>
            <family val="2"/>
            <charset val="204"/>
            <scheme val="minor"/>
          </rPr>
          <t>Консервативный сценарий: эффект снижен относительно исходной версии модели, а выход на полный эффект сделан постепенным.</t>
        </r>
      </text>
    </comment>
    <comment ref="E23" authorId="0" shapeId="0" xr:uid="{00000000-0006-0000-0100-000005000000}">
      <text>
        <r>
          <rPr>
            <sz val="11"/>
            <color rgb="FF000000"/>
            <rFont val="Calibri"/>
            <family val="2"/>
            <charset val="204"/>
            <scheme val="minor"/>
          </rPr>
          <t>Консервативный сценарий: эффект снижен относительно исходной версии модели, а выход на полный эффект сделан постепенным.</t>
        </r>
      </text>
    </comment>
    <comment ref="C24" authorId="0" shapeId="0" xr:uid="{00000000-0006-0000-0100-000006000000}">
      <text>
        <r>
          <rPr>
            <sz val="11"/>
            <color rgb="FF000000"/>
            <rFont val="Calibri"/>
            <family val="2"/>
            <charset val="204"/>
            <scheme val="minor"/>
          </rPr>
          <t>Консервативный сценарий: эффект снижен относительно исходной версии модели, а выход на полный эффект сделан постепенным.</t>
        </r>
      </text>
    </comment>
    <comment ref="D24" authorId="0" shapeId="0" xr:uid="{00000000-0006-0000-0100-000007000000}">
      <text>
        <r>
          <rPr>
            <sz val="11"/>
            <color rgb="FF000000"/>
            <rFont val="Calibri"/>
            <family val="2"/>
            <charset val="204"/>
            <scheme val="minor"/>
          </rPr>
          <t>Консервативный сценарий: эффект снижен относительно исходной версии модели, а выход на полный эффект сделан постепенным.</t>
        </r>
      </text>
    </comment>
    <comment ref="E24" authorId="0" shapeId="0" xr:uid="{00000000-0006-0000-0100-000008000000}">
      <text>
        <r>
          <rPr>
            <sz val="11"/>
            <color rgb="FF000000"/>
            <rFont val="Calibri"/>
            <family val="2"/>
            <charset val="204"/>
            <scheme val="minor"/>
          </rPr>
          <t>Консервативный сценарий: эффект снижен относительно исходной версии модели, а выход на полный эффект сделан постепенным.</t>
        </r>
      </text>
    </comment>
    <comment ref="C43" authorId="0" shapeId="0" xr:uid="{00000000-0006-0000-0100-000009000000}">
      <text>
        <r>
          <rPr>
            <sz val="11"/>
            <color rgb="FF000000"/>
            <rFont val="Calibri"/>
            <family val="2"/>
            <charset val="204"/>
            <scheme val="minor"/>
          </rPr>
          <t>Консервативный сценарий: эффект снижен относительно исходной версии модели, а выход на полный эффект сделан постепенным.</t>
        </r>
      </text>
    </comment>
    <comment ref="D43" authorId="0" shapeId="0" xr:uid="{00000000-0006-0000-0100-00000A000000}">
      <text>
        <r>
          <rPr>
            <sz val="11"/>
            <color rgb="FF000000"/>
            <rFont val="Calibri"/>
            <family val="2"/>
            <charset val="204"/>
            <scheme val="minor"/>
          </rPr>
          <t>Консервативный сценарий: эффект снижен относительно исходной версии модели, а выход на полный эффект сделан постепенным.</t>
        </r>
      </text>
    </comment>
    <comment ref="E43" authorId="0" shapeId="0" xr:uid="{00000000-0006-0000-0100-00000B000000}">
      <text>
        <r>
          <rPr>
            <sz val="11"/>
            <color rgb="FF000000"/>
            <rFont val="Calibri"/>
            <family val="2"/>
            <charset val="204"/>
            <scheme val="minor"/>
          </rPr>
          <t>Консервативный сценарий: эффект снижен относительно исходной версии модели, а выход на полный эффект сделан постепенным.</t>
        </r>
      </text>
    </comment>
    <comment ref="F43" authorId="0" shapeId="0" xr:uid="{00000000-0006-0000-0100-00000C000000}">
      <text>
        <r>
          <rPr>
            <sz val="11"/>
            <color rgb="FF000000"/>
            <rFont val="Calibri"/>
            <family val="2"/>
            <charset val="204"/>
            <scheme val="minor"/>
          </rPr>
          <t>Консервативный сценарий: эффект снижен относительно исходной версии модели, а выход на полный эффект сделан постепенным.</t>
        </r>
      </text>
    </comment>
    <comment ref="G43" authorId="0" shapeId="0" xr:uid="{00000000-0006-0000-0100-00000D000000}">
      <text>
        <r>
          <rPr>
            <sz val="11"/>
            <color rgb="FF000000"/>
            <rFont val="Calibri"/>
            <family val="2"/>
            <charset val="204"/>
            <scheme val="minor"/>
          </rPr>
          <t>Консервативный сценарий: эффект снижен относительно исходной версии модели, а выход на полный эффект сделан постепенным.</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C12" authorId="0" shapeId="0" xr:uid="{00000000-0006-0000-0400-000001000000}">
      <text>
        <r>
          <rPr>
            <sz val="11"/>
            <color rgb="FF000000"/>
            <rFont val="Calibri"/>
            <family val="2"/>
            <charset val="204"/>
            <scheme val="minor"/>
          </rPr>
          <t>Стартовый отрицательный поток принят как предзапусковая инвестиция, равная бюджету 2026 года. Это убирает методологическую ошибку, когда операционные расходы дублировались как Capex по всем годам.</t>
        </r>
      </text>
    </comment>
    <comment ref="B13" authorId="0" shapeId="0" xr:uid="{00000000-0006-0000-0400-000002000000}">
      <text>
        <r>
          <rPr>
            <sz val="11"/>
            <color rgb="FF000000"/>
            <rFont val="Calibri"/>
            <family val="2"/>
            <charset val="204"/>
            <scheme val="minor"/>
          </rPr>
          <t>FCF = чистая прибыль проекта + инвестиционные оттоки/притоки. Операционные затраты не дублируются во FCF второй раз.</t>
        </r>
      </text>
    </comment>
  </commentList>
</comments>
</file>

<file path=xl/sharedStrings.xml><?xml version="1.0" encoding="utf-8"?>
<sst xmlns="http://schemas.openxmlformats.org/spreadsheetml/2006/main" count="792" uniqueCount="530">
  <si>
    <t>Проект развития digital-маркетинга для категорий Oral Care, Baby Care, Hair Care</t>
  </si>
  <si>
    <t>КЛЮЧЕВЫЕ ПОКАЗАТЕЛИ ЭФФЕКТИВНОСТИ</t>
  </si>
  <si>
    <t>Показатель</t>
  </si>
  <si>
    <t>Значение</t>
  </si>
  <si>
    <t>Описание</t>
  </si>
  <si>
    <t>NPV проекта</t>
  </si>
  <si>
    <t>Чистая приведенная стоимость</t>
  </si>
  <si>
    <t>IRR</t>
  </si>
  <si>
    <t>Внутренняя норма доходности</t>
  </si>
  <si>
    <t>ROI (5 лет)</t>
  </si>
  <si>
    <t>Возврат инвестиций</t>
  </si>
  <si>
    <t>Срок окупаемости</t>
  </si>
  <si>
    <t>Лет до положительного NPV</t>
  </si>
  <si>
    <t>ROAS</t>
  </si>
  <si>
    <t>Возврат на затраты рекламы</t>
  </si>
  <si>
    <t>СТРУКТУРА ФАЙЛА</t>
  </si>
  <si>
    <t>Лист</t>
  </si>
  <si>
    <t>Содержание</t>
  </si>
  <si>
    <t>Допущения</t>
  </si>
  <si>
    <t>Исходные данные и предпосылки модели</t>
  </si>
  <si>
    <t>Прогноз_Выручки</t>
  </si>
  <si>
    <t>Расчет базовой и дополнительной выручки</t>
  </si>
  <si>
    <t>Затраты</t>
  </si>
  <si>
    <t>Детализация расходов на продвижение</t>
  </si>
  <si>
    <t>Денежные_потоки</t>
  </si>
  <si>
    <t>Расчет EBITDA, FCF, NPV</t>
  </si>
  <si>
    <t>Метрики_Итог</t>
  </si>
  <si>
    <t>Сводка KPI для презентации</t>
  </si>
  <si>
    <t>ПРИМЕЧАНИЯ</t>
  </si>
  <si>
    <t>• Горизонт планирования: 2026-2030 (5 лет)</t>
  </si>
  <si>
    <t>Цветовая кодировка:</t>
  </si>
  <si>
    <t>• Синий шрифт — вводные данные (можно изменять)</t>
  </si>
  <si>
    <t>• Черный шрифт — расчетные формулы</t>
  </si>
  <si>
    <t>• Зеленый шрифт — ссылки на другие листы</t>
  </si>
  <si>
    <t>Таблица 1: Макроэкономические параметры (готово)</t>
  </si>
  <si>
    <t>Параметр</t>
  </si>
  <si>
    <t>Ед. изм.</t>
  </si>
  <si>
    <t>Источник / Комментарий</t>
  </si>
  <si>
    <t>Курс USD/RUB</t>
  </si>
  <si>
    <t>руб.</t>
  </si>
  <si>
    <t>Средний за 2025-2026</t>
  </si>
  <si>
    <t>Ставка дисконтирования (WACC)</t>
  </si>
  <si>
    <t>%</t>
  </si>
  <si>
    <t>Ключевая ставка ЦБ 15.5% + риски</t>
  </si>
  <si>
    <t>Налог на прибыль</t>
  </si>
  <si>
    <t>НК РФ</t>
  </si>
  <si>
    <t>Горизонт планирования</t>
  </si>
  <si>
    <t>лет</t>
  </si>
  <si>
    <t>2026-2030</t>
  </si>
  <si>
    <t>Таблица 2: Рыночные параметры по категориям (готово?)</t>
  </si>
  <si>
    <t>Oral Care</t>
  </si>
  <si>
    <t>Baby Care</t>
  </si>
  <si>
    <t>Hair Care</t>
  </si>
  <si>
    <t>Источник</t>
  </si>
  <si>
    <t>Объем рынка РФ 2025 (USD)</t>
  </si>
  <si>
    <t>Оценка на основе доли P&amp;G</t>
  </si>
  <si>
    <t>Доля P&amp;G на рынке</t>
  </si>
  <si>
    <t>Выручка P&amp;G базовая (USD)</t>
  </si>
  <si>
    <t>Расчет</t>
  </si>
  <si>
    <t>Рост рынка в год</t>
  </si>
  <si>
    <t>Euromonitor (консервативно)</t>
  </si>
  <si>
    <t>Валовая маржа P&amp;G</t>
  </si>
  <si>
    <t>Глобальная 50% минус комиссии МП</t>
  </si>
  <si>
    <t>Таблица 3: Параметры эффективности продвижения</t>
  </si>
  <si>
    <t>Рост видимости (Visibility Uplift)</t>
  </si>
  <si>
    <t>Из анализа пробелов</t>
  </si>
  <si>
    <t>Эластичность продаж от видимости</t>
  </si>
  <si>
    <t>Экспертная оценка</t>
  </si>
  <si>
    <t>Рост продаж (Sales Uplift)</t>
  </si>
  <si>
    <t>Конверсия (CR)</t>
  </si>
  <si>
    <t>Бенчмарки e-commerce</t>
  </si>
  <si>
    <t>Средний чек (AOV), USD</t>
  </si>
  <si>
    <t>Wildberries/Ozon</t>
  </si>
  <si>
    <t>Cost per Click (CPC), USD</t>
  </si>
  <si>
    <t>Яндекс.Директ (90 руб/$)</t>
  </si>
  <si>
    <t>Таблица 4: Стоимость продвижения (рубли и доллары)</t>
  </si>
  <si>
    <t>Статья расходов</t>
  </si>
  <si>
    <t>Стоимость (руб)</t>
  </si>
  <si>
    <t>Стоимость (USD)</t>
  </si>
  <si>
    <t>Комментарий</t>
  </si>
  <si>
    <t>Создание экспертной статьи</t>
  </si>
  <si>
    <t>WORKSPACE 2026</t>
  </si>
  <si>
    <t>SEO-продвижение (мес)</t>
  </si>
  <si>
    <t>Рейтинг Рунета</t>
  </si>
  <si>
    <t>Размещение у блогера</t>
  </si>
  <si>
    <t>Средний блогер</t>
  </si>
  <si>
    <t>Размещение на отзовике</t>
  </si>
  <si>
    <t>Irecommend, Otzovik</t>
  </si>
  <si>
    <t>Технический SEO-аудит</t>
  </si>
  <si>
    <t>Разово</t>
  </si>
  <si>
    <t>Таблица 5: Коэффициент выхода на эффект (консервативный сценарий)</t>
  </si>
  <si>
    <t>Год</t>
  </si>
  <si>
    <t>Коэффициент выхода на эффект</t>
  </si>
  <si>
    <t>Таблица 1: Базовая выручка (без проекта)</t>
  </si>
  <si>
    <t>Категория</t>
  </si>
  <si>
    <t>2026</t>
  </si>
  <si>
    <t>2027</t>
  </si>
  <si>
    <t>2028</t>
  </si>
  <si>
    <t>2029</t>
  </si>
  <si>
    <t>2030</t>
  </si>
  <si>
    <t>ИТОГО базовая</t>
  </si>
  <si>
    <t>Таблица 2: Дополнительная выручка (от проекта)</t>
  </si>
  <si>
    <t>ИТОГО доп.</t>
  </si>
  <si>
    <t>Таблица 3: Общая выручка (базовая + дополнительная)</t>
  </si>
  <si>
    <t>ИТОГО общая</t>
  </si>
  <si>
    <t>Таблица 1: План мероприятий - Oral Care</t>
  </si>
  <si>
    <t>Мероприятие</t>
  </si>
  <si>
    <t>Кол-во в 2026</t>
  </si>
  <si>
    <t>Цена ед. (USD)</t>
  </si>
  <si>
    <t>Экспертные статьи</t>
  </si>
  <si>
    <t>Блогеры</t>
  </si>
  <si>
    <t>Размещение на отзовиках</t>
  </si>
  <si>
    <t>ИТОГО Oral Care</t>
  </si>
  <si>
    <t>Таблица 2: План мероприятий - Baby Care</t>
  </si>
  <si>
    <t>ИТОГО Baby Care</t>
  </si>
  <si>
    <t>Таблица 3: План мероприятий - Hair Care</t>
  </si>
  <si>
    <t>ИТОГО Hair Care</t>
  </si>
  <si>
    <t>Сводная таблица затрат по категориям</t>
  </si>
  <si>
    <t>ИТОГО затраты</t>
  </si>
  <si>
    <t>Доп. выручка</t>
  </si>
  <si>
    <t>Переменные затраты</t>
  </si>
  <si>
    <t>Валовая прибыль (доп.)</t>
  </si>
  <si>
    <t>Операционные затраты проекта</t>
  </si>
  <si>
    <t>EBITDA (доп.)</t>
  </si>
  <si>
    <t>Налог на прибыль (25%)</t>
  </si>
  <si>
    <t>Чистая прибыль (доп.)</t>
  </si>
  <si>
    <t>Стартовые инвестиции (pre-launch)</t>
  </si>
  <si>
    <t>Свободный денежный поток (FCF)</t>
  </si>
  <si>
    <t>Дисконтированный FCF</t>
  </si>
  <si>
    <t>Нарастающий NPV</t>
  </si>
  <si>
    <t>Затраты на проект</t>
  </si>
  <si>
    <t>Таблица 1: Основные метрики проекта</t>
  </si>
  <si>
    <t>NPV проекта (USD)</t>
  </si>
  <si>
    <t>Итоговый NPV за 5 лет</t>
  </si>
  <si>
    <t>IRR (внутренняя норма доходности)</t>
  </si>
  <si>
    <t>Встроенная функция Excel IRR</t>
  </si>
  <si>
    <t>ROI (за 5 лет)</t>
  </si>
  <si>
    <t>Кумулятивная чистая прибыль / кумулятивные OPEX проекта</t>
  </si>
  <si>
    <t>Срок окупаемости (лет)</t>
  </si>
  <si>
    <t>Количество лет с отрицательным накопленным NPV</t>
  </si>
  <si>
    <t>CPA / cost per order - средний (USD)</t>
  </si>
  <si>
    <t>Общие затраты / оценка числа новых заказов за 5 лет</t>
  </si>
  <si>
    <t>ROAS - средний</t>
  </si>
  <si>
    <t>Суммарная доп. выручка / суммарные OPEX проекта</t>
  </si>
  <si>
    <t>MIRR</t>
  </si>
  <si>
    <t>Встроенная функция Excel MIRR</t>
  </si>
  <si>
    <t>Таблица 2: Показатели по категориям</t>
  </si>
  <si>
    <t>Доп. выручка (5 лет)</t>
  </si>
  <si>
    <t>Затраты (5 лет)</t>
  </si>
  <si>
    <t>ROI категории</t>
  </si>
  <si>
    <t>Таблица 3: Сводка денежных потоков по годам</t>
  </si>
  <si>
    <t>2025</t>
  </si>
  <si>
    <t>ИТОГО</t>
  </si>
  <si>
    <t>FCF (свободный денежный поток)</t>
  </si>
  <si>
    <t>График 1: NPV по годам</t>
  </si>
  <si>
    <t>Нули</t>
  </si>
  <si>
    <t>График 2: Дополнительная выручка vs Затраты</t>
  </si>
  <si>
    <t xml:space="preserve">График 5: Анализ чувствительности </t>
  </si>
  <si>
    <t>Сценарий</t>
  </si>
  <si>
    <t>Рост продаж</t>
  </si>
  <si>
    <t>Ставка дисконтирования</t>
  </si>
  <si>
    <t>NPV (USD)</t>
  </si>
  <si>
    <t>Пессимистичный 22%</t>
  </si>
  <si>
    <t>Базовый 19%</t>
  </si>
  <si>
    <t>Оптимистичный 15%</t>
  </si>
  <si>
    <t>Тип запроса</t>
  </si>
  <si>
    <t>Запрос</t>
  </si>
  <si>
    <t>Частота Wordstat (мес)</t>
  </si>
  <si>
    <t>Топ-3 сайта в поиске</t>
  </si>
  <si>
    <t>Что говорит Нейро</t>
  </si>
  <si>
    <t>Брендовые</t>
  </si>
  <si>
    <t>Oral-B</t>
  </si>
  <si>
    <t>goldapple.ru (промо),</t>
  </si>
  <si>
    <t>ozon.ru (промо),</t>
  </si>
  <si>
    <t>oralb-russia.ru (промо),</t>
  </si>
  <si>
    <t>Орал би</t>
  </si>
  <si>
    <t>braun-russia.ru,</t>
  </si>
  <si>
    <t>ozon.ru, doctorslon.ru</t>
  </si>
  <si>
    <t>Oral-B зубная щетка отзывы</t>
  </si>
  <si>
    <t>Oral-B электрическая зубная щетка</t>
  </si>
  <si>
    <t>Орал би электрическая зубная щетка</t>
  </si>
  <si>
    <t>Oral-B зубная нить</t>
  </si>
  <si>
    <t>Blend-a-med</t>
  </si>
  <si>
    <t>Блендамед</t>
  </si>
  <si>
    <t>Blend-a-med зубная паста</t>
  </si>
  <si>
    <t>Категорийные</t>
  </si>
  <si>
    <t>электрическая зубная щетка</t>
  </si>
  <si>
    <t>wikipedia.org упоминается в категориях щеток,</t>
  </si>
  <si>
    <t>megapteka.ru Сравнение электрических и мануальных щеток для зубов,</t>
  </si>
  <si>
    <t>realty.yandex.ru как выбрать электрическую зубную щётку</t>
  </si>
  <si>
    <t>doctorslon.ru</t>
  </si>
  <si>
    <t>entomirshop.ru</t>
  </si>
  <si>
    <t>зубная щетка</t>
  </si>
  <si>
    <t>market.yandex.ru на запрос сразу предлагает электрические щетки среди которых есть мы</t>
  </si>
  <si>
    <t>лучшая электрическая зубная щетка</t>
  </si>
  <si>
    <t>рейтинги-товаров.рфпромо, bwell, ozon.ru</t>
  </si>
  <si>
    <t xml:space="preserve">Нельзя однозначно сказать, какая электрическая зубная щётка лучшая — выбор зависит от индивидуальных потребностей и особенностей зубов и дёсен. Существуют разные типы щёток: звуковые, ультразвуковые и механические. </t>
  </si>
  <si>
    <t>В механических мы всегда есть</t>
  </si>
  <si>
    <t xml:space="preserve">Купить megapteka.ru </t>
  </si>
  <si>
    <t>Промо: статьи рейтинги-товаров.рф, top-advisorr.ru  </t>
  </si>
  <si>
    <t>зубная щетка электрическая какую выбрать</t>
  </si>
  <si>
    <t>зубная нить</t>
  </si>
  <si>
    <t>Сравнительные</t>
  </si>
  <si>
    <t>Oral-B или</t>
  </si>
  <si>
    <t>электрическая или обычная зубная щетка</t>
  </si>
  <si>
    <t>Консультационные</t>
  </si>
  <si>
    <t>как выбрать электрическую зубную щетку</t>
  </si>
  <si>
    <t>(Промо) top-advisorr.ru,</t>
  </si>
  <si>
    <t xml:space="preserve">рейтинги-товаров.рф, ozon.ru, </t>
  </si>
  <si>
    <t>как чистить зубы электрической щеткой</t>
  </si>
  <si>
    <t>Топ электрических щеток (промо) revizzoro.ru</t>
  </si>
  <si>
    <r>
      <t xml:space="preserve">купить </t>
    </r>
    <r>
      <rPr>
        <u/>
        <sz val="12"/>
        <rFont val="Times New Roman"/>
        <family val="1"/>
        <charset val="204"/>
      </rPr>
      <t>doctorslon.ru</t>
    </r>
    <r>
      <rPr>
        <sz val="12"/>
        <rFont val="Times New Roman"/>
        <family val="1"/>
        <charset val="204"/>
      </rPr>
      <t xml:space="preserve">, </t>
    </r>
    <r>
      <rPr>
        <u/>
        <sz val="12"/>
        <rFont val="Times New Roman"/>
        <family val="1"/>
        <charset val="204"/>
      </rPr>
      <t>oralb-russia.ru</t>
    </r>
    <r>
      <rPr>
        <sz val="12"/>
        <rFont val="Times New Roman"/>
        <family val="1"/>
        <charset val="204"/>
      </rPr>
      <t> </t>
    </r>
  </si>
  <si>
    <r>
      <t>irrigator.ru</t>
    </r>
    <r>
      <rPr>
        <sz val="12"/>
        <rFont val="Times New Roman"/>
        <family val="1"/>
        <charset val="204"/>
      </rPr>
      <t xml:space="preserve">, </t>
    </r>
    <r>
      <rPr>
        <u/>
        <sz val="12"/>
        <rFont val="Times New Roman"/>
        <family val="1"/>
        <charset val="204"/>
      </rPr>
      <t>oralb-russia.ru</t>
    </r>
  </si>
  <si>
    <r>
      <t>market.yandex.ru</t>
    </r>
    <r>
      <rPr>
        <sz val="12"/>
        <rFont val="Times New Roman"/>
        <family val="1"/>
        <charset val="204"/>
      </rPr>
      <t xml:space="preserve">, </t>
    </r>
    <r>
      <rPr>
        <u/>
        <sz val="12"/>
        <rFont val="Times New Roman"/>
        <family val="1"/>
        <charset val="204"/>
      </rPr>
      <t>ozon.ru</t>
    </r>
    <r>
      <rPr>
        <sz val="12"/>
        <rFont val="Times New Roman"/>
        <family val="1"/>
        <charset val="204"/>
      </rPr>
      <t>, mvideo.ru</t>
    </r>
  </si>
  <si>
    <r>
      <t xml:space="preserve">Купить </t>
    </r>
    <r>
      <rPr>
        <u/>
        <sz val="12"/>
        <rFont val="Times New Roman"/>
        <family val="1"/>
        <charset val="204"/>
      </rPr>
      <t>apteka.ru</t>
    </r>
    <r>
      <rPr>
        <sz val="12"/>
        <rFont val="Times New Roman"/>
        <family val="1"/>
        <charset val="204"/>
      </rPr>
      <t xml:space="preserve">, </t>
    </r>
    <r>
      <rPr>
        <u/>
        <sz val="12"/>
        <rFont val="Times New Roman"/>
        <family val="1"/>
        <charset val="204"/>
      </rPr>
      <t>doctorslon.ru</t>
    </r>
    <r>
      <rPr>
        <sz val="12"/>
        <rFont val="Times New Roman"/>
        <family val="1"/>
        <charset val="204"/>
      </rPr>
      <t xml:space="preserve">, </t>
    </r>
    <r>
      <rPr>
        <u/>
        <sz val="12"/>
        <rFont val="Times New Roman"/>
        <family val="1"/>
        <charset val="204"/>
      </rPr>
      <t>irrigator.ru</t>
    </r>
    <r>
      <rPr>
        <sz val="12"/>
        <rFont val="Times New Roman"/>
        <family val="1"/>
        <charset val="204"/>
      </rPr>
      <t> </t>
    </r>
  </si>
  <si>
    <r>
      <t>market.yandex.ru</t>
    </r>
    <r>
      <rPr>
        <sz val="12"/>
        <rFont val="Times New Roman"/>
        <family val="1"/>
        <charset val="204"/>
      </rPr>
      <t xml:space="preserve">, </t>
    </r>
    <r>
      <rPr>
        <u/>
        <sz val="12"/>
        <rFont val="Times New Roman"/>
        <family val="1"/>
        <charset val="204"/>
      </rPr>
      <t>ozon.ru</t>
    </r>
    <r>
      <rPr>
        <sz val="12"/>
        <rFont val="Times New Roman"/>
        <family val="1"/>
        <charset val="204"/>
      </rPr>
      <t>, topsmile.shop</t>
    </r>
  </si>
  <si>
    <r>
      <t>doctorslon.ru</t>
    </r>
    <r>
      <rPr>
        <sz val="12"/>
        <rFont val="Times New Roman"/>
        <family val="1"/>
        <charset val="204"/>
      </rPr>
      <t xml:space="preserve">,  </t>
    </r>
    <r>
      <rPr>
        <u/>
        <sz val="12"/>
        <rFont val="Times New Roman"/>
        <family val="1"/>
        <charset val="204"/>
      </rPr>
      <t>apteka.ru</t>
    </r>
    <r>
      <rPr>
        <sz val="12"/>
        <rFont val="Times New Roman"/>
        <family val="1"/>
        <charset val="204"/>
      </rPr>
      <t xml:space="preserve">, </t>
    </r>
    <r>
      <rPr>
        <u/>
        <sz val="12"/>
        <rFont val="Times New Roman"/>
        <family val="1"/>
        <charset val="204"/>
      </rPr>
      <t>ozon.ru</t>
    </r>
    <r>
      <rPr>
        <sz val="12"/>
        <rFont val="Times New Roman"/>
        <family val="1"/>
        <charset val="204"/>
      </rPr>
      <t xml:space="preserve">, </t>
    </r>
    <r>
      <rPr>
        <u/>
        <sz val="12"/>
        <rFont val="Times New Roman"/>
        <family val="1"/>
        <charset val="204"/>
      </rPr>
      <t>market.yandex.ru</t>
    </r>
  </si>
  <si>
    <r>
      <t>apteka.ru</t>
    </r>
    <r>
      <rPr>
        <sz val="12"/>
        <rFont val="Times New Roman"/>
        <family val="1"/>
        <charset val="204"/>
      </rPr>
      <t xml:space="preserve">, </t>
    </r>
    <r>
      <rPr>
        <u/>
        <sz val="12"/>
        <rFont val="Times New Roman"/>
        <family val="1"/>
        <charset val="204"/>
      </rPr>
      <t>ozon.ru</t>
    </r>
    <r>
      <rPr>
        <sz val="12"/>
        <rFont val="Times New Roman"/>
        <family val="1"/>
        <charset val="204"/>
      </rPr>
      <t xml:space="preserve">, </t>
    </r>
    <r>
      <rPr>
        <u/>
        <sz val="12"/>
        <rFont val="Times New Roman"/>
        <family val="1"/>
        <charset val="204"/>
      </rPr>
      <t>megapteka.ru</t>
    </r>
  </si>
  <si>
    <r>
      <t>wikipedia.org</t>
    </r>
    <r>
      <rPr>
        <sz val="12"/>
        <rFont val="Times New Roman"/>
        <family val="1"/>
        <charset val="204"/>
      </rPr>
      <t xml:space="preserve">, </t>
    </r>
    <r>
      <rPr>
        <u/>
        <sz val="12"/>
        <rFont val="Times New Roman"/>
        <family val="1"/>
        <charset val="204"/>
      </rPr>
      <t>megapteka.ru</t>
    </r>
    <r>
      <rPr>
        <sz val="12"/>
        <rFont val="Times New Roman"/>
        <family val="1"/>
        <charset val="204"/>
      </rPr>
      <t xml:space="preserve">, </t>
    </r>
    <r>
      <rPr>
        <u/>
        <sz val="12"/>
        <rFont val="Times New Roman"/>
        <family val="1"/>
        <charset val="204"/>
      </rPr>
      <t>ozon.ru</t>
    </r>
    <r>
      <rPr>
        <sz val="12"/>
        <rFont val="Times New Roman"/>
        <family val="1"/>
        <charset val="204"/>
      </rPr>
      <t xml:space="preserve">, </t>
    </r>
    <r>
      <rPr>
        <u/>
        <sz val="12"/>
        <rFont val="Times New Roman"/>
        <family val="1"/>
        <charset val="204"/>
      </rPr>
      <t>market.yandex.ru</t>
    </r>
  </si>
  <si>
    <r>
      <t>market.yandex.ru</t>
    </r>
    <r>
      <rPr>
        <sz val="12"/>
        <rFont val="Times New Roman"/>
        <family val="1"/>
        <charset val="204"/>
      </rPr>
      <t xml:space="preserve">, </t>
    </r>
    <r>
      <rPr>
        <u/>
        <sz val="12"/>
        <rFont val="Times New Roman"/>
        <family val="1"/>
        <charset val="204"/>
      </rPr>
      <t>ozon.ru</t>
    </r>
    <r>
      <rPr>
        <sz val="12"/>
        <rFont val="Times New Roman"/>
        <family val="1"/>
        <charset val="204"/>
      </rPr>
      <t xml:space="preserve">, </t>
    </r>
    <r>
      <rPr>
        <u/>
        <sz val="12"/>
        <rFont val="Times New Roman"/>
        <family val="1"/>
        <charset val="204"/>
      </rPr>
      <t>top-advisorr.ru</t>
    </r>
    <r>
      <rPr>
        <sz val="12"/>
        <rFont val="Times New Roman"/>
        <family val="1"/>
        <charset val="204"/>
      </rPr>
      <t> </t>
    </r>
  </si>
  <si>
    <r>
      <t xml:space="preserve">Статьи </t>
    </r>
    <r>
      <rPr>
        <u/>
        <sz val="12"/>
        <rFont val="Times New Roman"/>
        <family val="1"/>
        <charset val="204"/>
      </rPr>
      <t>expertcen.ru</t>
    </r>
    <r>
      <rPr>
        <sz val="12"/>
        <rFont val="Times New Roman"/>
        <family val="1"/>
        <charset val="204"/>
      </rPr>
      <t xml:space="preserve"> , </t>
    </r>
    <r>
      <rPr>
        <u/>
        <sz val="12"/>
        <rFont val="Times New Roman"/>
        <family val="1"/>
        <charset val="204"/>
      </rPr>
      <t>dtf.ru</t>
    </r>
    <r>
      <rPr>
        <sz val="12"/>
        <rFont val="Times New Roman"/>
        <family val="1"/>
        <charset val="204"/>
      </rPr>
      <t xml:space="preserve">, </t>
    </r>
  </si>
  <si>
    <r>
      <t>market.yandex.ru</t>
    </r>
    <r>
      <rPr>
        <sz val="12"/>
        <rFont val="Times New Roman"/>
        <family val="1"/>
        <charset val="204"/>
      </rPr>
      <t xml:space="preserve">, </t>
    </r>
    <r>
      <rPr>
        <u/>
        <sz val="12"/>
        <rFont val="Times New Roman"/>
        <family val="1"/>
        <charset val="204"/>
      </rPr>
      <t>ozon.ru</t>
    </r>
    <r>
      <rPr>
        <sz val="12"/>
        <rFont val="Times New Roman"/>
        <family val="1"/>
        <charset val="204"/>
      </rPr>
      <t xml:space="preserve">, </t>
    </r>
    <r>
      <rPr>
        <u/>
        <sz val="12"/>
        <rFont val="Times New Roman"/>
        <family val="1"/>
        <charset val="204"/>
      </rPr>
      <t>wildberries.ru</t>
    </r>
    <r>
      <rPr>
        <sz val="12"/>
        <rFont val="Times New Roman"/>
        <family val="1"/>
        <charset val="204"/>
      </rPr>
      <t> </t>
    </r>
  </si>
  <si>
    <r>
      <t xml:space="preserve">Без брендов ничего нет, только в начале купить на </t>
    </r>
    <r>
      <rPr>
        <u/>
        <sz val="12"/>
        <rFont val="Times New Roman"/>
        <family val="1"/>
        <charset val="204"/>
      </rPr>
      <t>market.yandex.ru</t>
    </r>
    <r>
      <rPr>
        <sz val="12"/>
        <rFont val="Times New Roman"/>
        <family val="1"/>
        <charset val="204"/>
      </rPr>
      <t xml:space="preserve">, , Если добавлять бренд, то появляется статьи </t>
    </r>
    <r>
      <rPr>
        <u/>
        <sz val="12"/>
        <rFont val="Times New Roman"/>
        <family val="1"/>
        <charset val="204"/>
      </rPr>
      <t>medalist-stom.ru</t>
    </r>
    <r>
      <rPr>
        <sz val="12"/>
        <rFont val="Times New Roman"/>
        <family val="1"/>
        <charset val="204"/>
      </rPr>
      <t xml:space="preserve">, </t>
    </r>
    <r>
      <rPr>
        <u/>
        <sz val="12"/>
        <rFont val="Times New Roman"/>
        <family val="1"/>
        <charset val="204"/>
      </rPr>
      <t>health.mail.ru</t>
    </r>
    <r>
      <rPr>
        <sz val="12"/>
        <rFont val="Times New Roman"/>
        <family val="1"/>
        <charset val="204"/>
      </rPr>
      <t> </t>
    </r>
  </si>
  <si>
    <r>
      <t xml:space="preserve">купить oral-b </t>
    </r>
    <r>
      <rPr>
        <u/>
        <sz val="12"/>
        <rFont val="Times New Roman"/>
        <family val="1"/>
        <charset val="204"/>
      </rPr>
      <t>ozon.ru</t>
    </r>
    <r>
      <rPr>
        <sz val="12"/>
        <rFont val="Times New Roman"/>
        <family val="1"/>
        <charset val="204"/>
      </rPr>
      <t>, goldapple.ru (промо)</t>
    </r>
  </si>
  <si>
    <r>
      <t>ozon.ru</t>
    </r>
    <r>
      <rPr>
        <sz val="12"/>
        <rFont val="Times New Roman"/>
        <family val="1"/>
        <charset val="204"/>
      </rPr>
      <t xml:space="preserve">  (промо), </t>
    </r>
    <r>
      <rPr>
        <u/>
        <sz val="12"/>
        <rFont val="Times New Roman"/>
        <family val="1"/>
        <charset val="204"/>
      </rPr>
      <t>market.yandex.ru</t>
    </r>
  </si>
  <si>
    <r>
      <t xml:space="preserve">(Купить) </t>
    </r>
    <r>
      <rPr>
        <u/>
        <sz val="12"/>
        <rFont val="Times New Roman"/>
        <family val="1"/>
        <charset val="204"/>
      </rPr>
      <t>doctorslon.ru</t>
    </r>
    <r>
      <rPr>
        <sz val="12"/>
        <rFont val="Times New Roman"/>
        <family val="1"/>
        <charset val="204"/>
      </rPr>
      <t xml:space="preserve">, </t>
    </r>
    <r>
      <rPr>
        <u/>
        <sz val="12"/>
        <rFont val="Times New Roman"/>
        <family val="1"/>
        <charset val="204"/>
      </rPr>
      <t>market.yandex.ru</t>
    </r>
    <r>
      <rPr>
        <sz val="12"/>
        <rFont val="Times New Roman"/>
        <family val="1"/>
        <charset val="204"/>
      </rPr>
      <t>, goldapple.ru</t>
    </r>
  </si>
  <si>
    <t>ichip.ru, OZON.ru, novadent.ru, dentalab.ru</t>
  </si>
  <si>
    <t>HAIR CARE (Head &amp; Shoulders, Pantene, Herbal Essences, Old Spice)</t>
  </si>
  <si>
    <t>Категорийный</t>
  </si>
  <si>
    <t>шампунь от перхоти</t>
  </si>
  <si>
    <t>ozon.ru (промо), </t>
  </si>
  <si>
    <t>yves-rocher.ru (промо)</t>
  </si>
  <si>
    <t>apteka.ru,</t>
  </si>
  <si>
    <t>Вебмастер (15 116)</t>
  </si>
  <si>
    <t>(https://wildberries.ru</t>
  </si>
  <si>
    <t>https://ozon.ru</t>
  </si>
  <si>
    <t>https://apteka.ru)</t>
  </si>
  <si>
    <t>Некоторые шампуни от перхоти:</t>
  </si>
  <si>
    <t>2в1 Clear Men «Глубокое очищение»…</t>
  </si>
  <si>
    <t>Head &amp; Shoulders 2в1 Classic Clean…</t>
  </si>
  <si>
    <t>Vichy Dercos Anti‑Dandruff…</t>
  </si>
  <si>
    <t>«Низорал»…</t>
  </si>
  <si>
    <t>«Кето Плюс»…</t>
  </si>
  <si>
    <t>«Циновит»…</t>
  </si>
  <si>
    <t>«Себозол»…</t>
  </si>
  <si>
    <t>шампунь против перхоти</t>
  </si>
  <si>
    <t>Вебмастер (1 550)</t>
  </si>
  <si>
    <t>(https://apteka-april.ru</t>
  </si>
  <si>
    <t>https://market.yandex.ru</t>
  </si>
  <si>
    <t>Некоторые шампуни против перхоти:</t>
  </si>
  <si>
    <t>«Низорал». </t>
  </si>
  <si>
    <t>«Кето Плюс». </t>
  </si>
  <si>
    <t>«Циновит». </t>
  </si>
  <si>
    <t>Vichy Dercos. </t>
  </si>
  <si>
    <t>Mirrolla Сульсен Форте.</t>
  </si>
  <si>
    <t>Ducray Kelual DS. </t>
  </si>
  <si>
    <t>Сульсена (Амальгама Люкс).</t>
  </si>
  <si>
    <t>«Псорилом». </t>
  </si>
  <si>
    <t>Bioderma Node DS+. </t>
  </si>
  <si>
    <t>шампунь для перхоти</t>
  </si>
  <si>
    <t>apteka.ru</t>
  </si>
  <si>
    <t>«Сульсен Форте». </t>
  </si>
  <si>
    <t>лучший шампунь от перхоти</t>
  </si>
  <si>
    <t>market.yandex.ru (промо),</t>
  </si>
  <si>
    <t>stolichki.ru</t>
  </si>
  <si>
    <t>megapteka.ru</t>
  </si>
  <si>
    <t>Вебмастер (466)</t>
  </si>
  <si>
    <t>(https://lamoda.ru ???</t>
  </si>
  <si>
    <t>https://stolichki.ru</t>
  </si>
  <si>
    <t>https://megapteka.ru)</t>
  </si>
  <si>
    <t>Нет однозначного мнения о том, какой шампунь от перхоти лучший. Несколько средств, которые упоминаются в рейтингах 2026 года:</t>
  </si>
  <si>
    <t>2в1 Clear Men «Глубокое очищение». </t>
  </si>
  <si>
    <t>Head &amp; Shoulders 2в1 Classic Clean. </t>
  </si>
  <si>
    <t>«Низорал» (с кетоконазолом 1%). </t>
  </si>
  <si>
    <t>LA Roche‑Posay Kerium Интенсивный. </t>
  </si>
  <si>
    <t>Yones с кетоконазолом 2%. </t>
  </si>
  <si>
    <t>шампунь для жирных волос</t>
  </si>
  <si>
    <t>wildberries.ru (промо),</t>
  </si>
  <si>
    <t>goldapple.ru,</t>
  </si>
  <si>
    <t>Вебмастер (1 637)</t>
  </si>
  <si>
    <t>(https://letu.ru</t>
  </si>
  <si>
    <t>https://goldapple.ru</t>
  </si>
  <si>
    <t>https://ozon.ru)</t>
  </si>
  <si>
    <t>Несколько шампуней для жирных волос:</t>
  </si>
  <si>
    <t>L'Oreal Paris Elseve «Гиалурон Баланс». Шампунь для волос</t>
  </si>
  <si>
    <t>Deonica Detox Очищение. </t>
  </si>
  <si>
    <t>Green Mama «Биобаланс» с экстрактом ламинарии.</t>
  </si>
  <si>
    <t>Likato Professional. </t>
  </si>
  <si>
    <t>Natura Siberica Lab Biome. </t>
  </si>
  <si>
    <t>ESTEL PROFESSIONAL CUREX VOLUME. </t>
  </si>
  <si>
    <t>Garnier Fructis «Кокосовый Баланс». </t>
  </si>
  <si>
    <t>Шампуни для жирных волос можно купить, например, на сайтах OZON, Gold Apple, «Яндекс Маркет». </t>
  </si>
  <si>
    <t>шампунь для сухих волос</t>
  </si>
  <si>
    <t>какие шампуни для сухих волос</t>
  </si>
  <si>
    <t>kp.ru›</t>
  </si>
  <si>
    <t>ozon.ru </t>
  </si>
  <si>
    <t>Вебмастер (140)</t>
  </si>
  <si>
    <t>https://megapteka.ru</t>
  </si>
  <si>
    <t>Некоторые варианты шампуней для сухих волос:</t>
  </si>
  <si>
    <t>L’Oréal Professionnel Absolut Repair Molecular </t>
  </si>
  <si>
    <t>Londa Professional Deep Moisture </t>
  </si>
  <si>
    <t>Davines Momo</t>
  </si>
  <si>
    <t>Estel Curex Therapy </t>
  </si>
  <si>
    <t>шампунь для окрашенных волос</t>
  </si>
  <si>
    <t>lorealprofessionnel.ru (промо),</t>
  </si>
  <si>
    <t>ozon.ru</t>
  </si>
  <si>
    <t>podrygka.ru</t>
  </si>
  <si>
    <t>Вебмастер (2 122)</t>
  </si>
  <si>
    <t>https://proficosmetics.ru</t>
  </si>
  <si>
    <t>https://kosmetika-proff.ru</t>
  </si>
  <si>
    <t>https://wildberries.ru</t>
  </si>
  <si>
    <t>Несколько шампуней для окрашенных волос:</t>
  </si>
  <si>
    <t>LOREAL ELSEVE «Эксперт цвета». </t>
  </si>
  <si>
    <t>SEA OF SPA PROFESSIONAL.</t>
  </si>
  <si>
    <t>GARNIER FRUCTIS ГОДЖИ «Стойкий цвет». </t>
  </si>
  <si>
    <t>ESTEL CUREX COLOR SAVE. </t>
  </si>
  <si>
    <t>OLLIN CARE. </t>
  </si>
  <si>
    <t>LOREAL ELSEVE </t>
  </si>
  <si>
    <t>бальзам для волос</t>
  </si>
  <si>
    <t>goldapple.ru </t>
  </si>
  <si>
    <t>Вебмастер (1 788)</t>
  </si>
  <si>
    <t>https://letu.ru</t>
  </si>
  <si>
    <t>Несколько интернет-магазинов, где можно купить бальзамы для волос: Kosmetika-proff.ru, Randewoo, OZON, WildBerries.ru. </t>
  </si>
  <si>
    <t>кондиционер для волос</t>
  </si>
  <si>
    <t>hlcosm.com (промо),</t>
  </si>
  <si>
    <t>proficosmetics.ru</t>
  </si>
  <si>
    <t>Вебмастер (3 084)</t>
  </si>
  <si>
    <t>https://nails-mag.ru</t>
  </si>
  <si>
    <t>https://woman.ru</t>
  </si>
  <si>
    <t>Несколько сайтов, где можно купить кондиционеры для волос:</t>
  </si>
  <si>
    <t>kosmetika-proff.ru </t>
  </si>
  <si>
    <t>randewoo.ru</t>
  </si>
  <si>
    <t>OZON.ru </t>
  </si>
  <si>
    <t>aravia.ru</t>
  </si>
  <si>
    <t>хеден шолдерс</t>
  </si>
  <si>
    <t>Вебмастер (885)</t>
  </si>
  <si>
    <t>https://apteka.ru</t>
  </si>
  <si>
    <t>https://r-ulybka.ru</t>
  </si>
  <si>
    <t>Head &amp; Shoulders (Хед энд Шолдерс) — бренд шампуней, который разрабатывает продукты преимущественно для борьбы с перхотью и зудом. Средства направлены на увлажнение и защиту чувствительной кожи головы. </t>
  </si>
  <si>
    <t>Некоторые продукты бренда:</t>
  </si>
  <si>
    <t>«Основной Уход». </t>
  </si>
  <si>
    <t>«Ментол». </t>
  </si>
  <si>
    <t>Men Ultra Old Spice. </t>
  </si>
  <si>
    <t>По данным на 2021 год, Head &amp; Shoulders называли брендом шампуней №1 в мире.</t>
  </si>
  <si>
    <t>heading shoulders</t>
  </si>
  <si>
    <t>headandshoulders.com</t>
  </si>
  <si>
    <t>ozon.ru, </t>
  </si>
  <si>
    <t>wildberries.ru</t>
  </si>
  <si>
    <t>Head &amp; Shoulders (H&amp;S; произн. «Хэд энд Шолдэрс») — американский бренд, специализирующийся на шампунях против перхоти. </t>
  </si>
  <si>
    <t>Ассортимент включает шампуни и бальзамы-ополаскиватели для разных типов волос и кожи головы.</t>
  </si>
  <si>
    <t>head and shoulders</t>
  </si>
  <si>
    <t>Вебмастер (2 878)</t>
  </si>
  <si>
    <t>https://vk.com</t>
  </si>
  <si>
    <t>https://ok.ru</t>
  </si>
  <si>
    <t>https://rutube.ru</t>
  </si>
  <si>
    <t>Head &amp; Shoulders — бренд шампуней, который, по данным на 2021 год, считался номером один в мире. </t>
  </si>
  <si>
    <t>Средства Head &amp; Shoulders разработаны преимущественно для борьбы с перхотью и зудом, направлены на увлажнение и защиту чувствительной кожи головы. </t>
  </si>
  <si>
    <t>«2в1 Ментол». </t>
  </si>
  <si>
    <t>«Основной Уход 2в1». </t>
  </si>
  <si>
    <t>шампунь pantene</t>
  </si>
  <si>
    <t>goldapple.ru</t>
  </si>
  <si>
    <t>Вебмастер (113)</t>
  </si>
  <si>
    <t>Несколько шампуней Pantene:</t>
  </si>
  <si>
    <t>Pantene Pro-V «Интенсивное восстановление». </t>
  </si>
  <si>
    <t>Pantene Pro-V «Дополнительный объём». </t>
  </si>
  <si>
    <t>Pantene Pro-V Aqua Light.</t>
  </si>
  <si>
    <t>Pantene Miracles «Восстановление и укрепление». </t>
  </si>
  <si>
    <t>Pantene «Слияние с природой, укрепление и блеск». </t>
  </si>
  <si>
    <t>Шампуни Pantene можно купить, например, на сайтах: «Яндекс Маркет», OZON, «Золотое яблоко». </t>
  </si>
  <si>
    <t>pantene</t>
  </si>
  <si>
    <t>pantene.com</t>
  </si>
  <si>
    <t>Вебмастер (187)</t>
  </si>
  <si>
    <t>https://irecommend.ru</t>
  </si>
  <si>
    <t>https://boykotdedektifi.co</t>
  </si>
  <si>
    <t>Pantene — американский бренд средств по уходу за волосами, принадлежащий компании Procter &amp; Gamble. Линейка продуктов была впервые представлена в Европе в 1945 году швейцарской компанией Hoffmann-La Roche, которая использовала пантенол в изготовлении шампуней. </t>
  </si>
  <si>
    <t>Некоторые продукты Pantene:</t>
  </si>
  <si>
    <t>Шампунь Pantene Pro-V Aqua Light. </t>
  </si>
  <si>
    <t>Шампунь Pantene Pro-V «Дополнительный Объём». </t>
  </si>
  <si>
    <t>Шампунь Pantene Miracles «Шёлк и Сияние».</t>
  </si>
  <si>
    <t>Бальзам-ополаскиватель Pantene «Интенсивное Восстановление». </t>
  </si>
  <si>
    <t>Продукция Pantene направлена на разные потребности волос: укрепление, питание, гладкость и шелковистость, защиту цвета, восстановление и дополнительный объём. </t>
  </si>
  <si>
    <t>пантин</t>
  </si>
  <si>
    <t>podrygka.ru,</t>
  </si>
  <si>
    <t>Вебмастер (745)</t>
  </si>
  <si>
    <t>Возможно, имелся в виду бренд PANTENE («Пантин») — линия средств по уходу за волосами. </t>
  </si>
  <si>
    <t>Шампунь «Густые и Крепкие». </t>
  </si>
  <si>
    <t>Шампунь «Aqua Light». </t>
  </si>
  <si>
    <t>Бальзам-ополаскиватель «Интенсивное восстановление». </t>
  </si>
  <si>
    <t>Бальзам-ополаскиватель Pantene Pro-V Miracles «Восстановление и укрепление». </t>
  </si>
  <si>
    <t>Купить продукты Pantene можно, например, на сайтах:</t>
  </si>
  <si>
    <t>OZON; </t>
  </si>
  <si>
    <t>Gold Apple; </t>
  </si>
  <si>
    <t>Lenta.com. </t>
  </si>
  <si>
    <t>шампунь пантин</t>
  </si>
  <si>
    <t>Вебмастер (1 287)</t>
  </si>
  <si>
    <t>Возможно, имелся в виду шампунь Pantene Pro-V («Пантин Про-Ви»). Некоторые виды шампуней этого бренда:</t>
  </si>
  <si>
    <t>«Густые и Крепкие».</t>
  </si>
  <si>
    <t>«Aqua Light». </t>
  </si>
  <si>
    <t>«Интенсивное восстановление».</t>
  </si>
  <si>
    <t>Купить шампуни Pantene можно, например, на сайтах:</t>
  </si>
  <si>
    <t>market.yandex.ru; </t>
  </si>
  <si>
    <t>goldapple.ru. </t>
  </si>
  <si>
    <t>бальзам пантин</t>
  </si>
  <si>
    <t>Вебмастер (53)</t>
  </si>
  <si>
    <t>https://sima-land.ru</t>
  </si>
  <si>
    <t>https://metro-cc.ru</t>
  </si>
  <si>
    <t>Возможно, имелись в виду бальзамы для волос бренда PANTENE («Пантин»). Некоторые из них:</t>
  </si>
  <si>
    <t>«Интенсивное восстановление». </t>
  </si>
  <si>
    <t>«Густые и крепкие». «Восстановление и укрепление». </t>
  </si>
  <si>
    <t>«Блестящие и шелковистые». </t>
  </si>
  <si>
    <t>Купить бальзамы PANTENE можно, например, на сайте OZON.ru. </t>
  </si>
  <si>
    <t>рейтинг шампуней от перхоти</t>
  </si>
  <si>
    <t>Lamoda.ru </t>
  </si>
  <si>
    <t>Вебмастер: шампунь от перхоти рейтинг лучших (187), рейтинг шампуней от перхоти (88)</t>
  </si>
  <si>
    <t>По данным сайта vc.ru, в рейтинг лучших шампуней от перхоти на 2026 год входят:</t>
  </si>
  <si>
    <t>2в1 Clear Men «Глубокое очищение», 400 мл. </t>
  </si>
  <si>
    <t>Head &amp; Shoulders 2в1 Classic Clean, 1 л. </t>
  </si>
  <si>
    <t>Шаума «Против Перхоти Intensive», 360 мл.</t>
  </si>
  <si>
    <t>Vichy Dercos Anti‑Dandruff, 200 мл.</t>
  </si>
  <si>
    <t>«Низорал» (с кетоконазолом 1%), 200 мл.</t>
  </si>
  <si>
    <t>LA Roche‑Posay Kerium Интенсивный, 125 мл.</t>
  </si>
  <si>
    <t>Ducray Kelual DS, 100 мл.</t>
  </si>
  <si>
    <t>Planeta Organica Ticket to Australia, 400 мл.</t>
  </si>
  <si>
    <t>Sebocelin «Шелковый хлопок», 400 мл.</t>
  </si>
  <si>
    <t>Garnier Fructis Против перхоти 2в1, 250 мл.</t>
  </si>
  <si>
    <t>какой шампунь лучше от перхоти</t>
  </si>
  <si>
    <t>Фармтек (промо)</t>
  </si>
  <si>
    <t>zdravcity.ru</t>
  </si>
  <si>
    <t>Вебмастер (136)</t>
  </si>
  <si>
    <t>https://ihc-russia.ru</t>
  </si>
  <si>
    <t>https://lady.mail.ru</t>
  </si>
  <si>
    <t>Несколько шампуней, которые упоминаются в рейтингах лучших в 2026 году:</t>
  </si>
  <si>
    <t>Vichy Dercos Anti‑Dandruff. </t>
  </si>
  <si>
    <t>«Кето плюс». </t>
  </si>
  <si>
    <t>как выбрать шампунь для жирных волос</t>
  </si>
  <si>
    <t>как выбрать шампунь</t>
  </si>
  <si>
    <t>aroma-butik.ru</t>
  </si>
  <si>
    <t>master-om.com</t>
  </si>
  <si>
    <t>Вебмастер (176)</t>
  </si>
  <si>
    <t>https://aroma-butik.ru</t>
  </si>
  <si>
    <t xml:space="preserve">При выборе шампуня важно учитывать тип волос, состав средства, бренд и отзывы. Универсального шампуня, который бы подходил для всех, не существует — уход должен быть персональным. </t>
  </si>
  <si>
    <t>Далее указаны критерии выбора шампуня.</t>
  </si>
  <si>
    <t>как избавиться от перхоти</t>
  </si>
  <si>
    <t>probolezny.ru</t>
  </si>
  <si>
    <t>gemotest.ru</t>
  </si>
  <si>
    <t>megapteka.ru (нас тут нет)</t>
  </si>
  <si>
    <t>Вебмастер (11 455)</t>
  </si>
  <si>
    <t>https://rigla.ru</t>
  </si>
  <si>
    <t>https://gemotest.ru</t>
  </si>
  <si>
    <t>При появлении стойкой перхоти необходима консультация дерматолога или трихолога. Далее рассмотрены причины появления перхоти, способы диагностики, лечения и профилактики.</t>
  </si>
  <si>
    <t>средство от перхоти</t>
  </si>
  <si>
    <t>gorzdrav.org  (промо),</t>
  </si>
  <si>
    <t>Вебмастер (1 138)</t>
  </si>
  <si>
    <t>https://medaboutme.ru</t>
  </si>
  <si>
    <t>Перед выбором средства от перхоти рекомендуется проконсультироваться с дерматологом или трихологом. </t>
  </si>
  <si>
    <t>Некоторые средства от перхоти:</t>
  </si>
  <si>
    <t>«Белосалик». </t>
  </si>
  <si>
    <t>шампунь от перхоти лечебный</t>
  </si>
  <si>
    <t>planetazdorovo.ru</t>
  </si>
  <si>
    <t>Вебмастер (3 108)</t>
  </si>
  <si>
    <t>https://planetazdorovo.ru</t>
  </si>
  <si>
    <t>https://uteka.ru</t>
  </si>
  <si>
    <t>Некоторые лечебные шампуни от перхоти:</t>
  </si>
  <si>
    <t>«Циновит».</t>
  </si>
  <si>
    <t>«Сульсен Форте».</t>
  </si>
  <si>
    <t>«911 дегтярный». </t>
  </si>
  <si>
    <t>«Bioderma Node DS+». </t>
  </si>
  <si>
    <t>шампунь без сульфатов</t>
  </si>
  <si>
    <t>Вебмастер (423)</t>
  </si>
  <si>
    <t>https://randewoo.ru</t>
  </si>
  <si>
    <t>Бессульфатный шампунь отличается от обычного тем, что в его составе нет опасных консервантов. Основой таких продуктов являются натуральные компоненты: масла, растительные экстракты, витамины. </t>
  </si>
  <si>
    <t>Некоторые варианты бессульфатных шампуней:</t>
  </si>
  <si>
    <t>HAPPY HAIR Professional. </t>
  </si>
  <si>
    <t>L’Oreal Professionnel шампунь Expert Vitamino Color Resveratrol. </t>
  </si>
  <si>
    <t>Matrix Biolage Keratindose. </t>
  </si>
  <si>
    <t>Yves Rocher Low Shampoo. </t>
  </si>
  <si>
    <t>Natura Siberica «Защита и Блеск». </t>
  </si>
  <si>
    <t>Esthetic House CP-1 Ginger Purifying Shampoo. </t>
  </si>
  <si>
    <t>безсульфатный шампунь</t>
  </si>
  <si>
    <t>Вебмастер (3 429)</t>
  </si>
  <si>
    <t>https://profcosm.com</t>
  </si>
  <si>
    <t>Бессульфатный шампунь — средство для очищения волос, в составе которого нет сульфатов — активных веществ, в которые входит соль серной кислоты. Вместо них производители используют мягкие моющие компоненты — сапонины, глюкозиды, бетаины.  Далее описываются их достоинства и недостатки.</t>
  </si>
  <si>
    <t>Некоторые бессульфатные шампуни:</t>
  </si>
  <si>
    <t>Londa P.U.R.E. </t>
  </si>
  <si>
    <t>La dor Keratin Lpp. </t>
  </si>
  <si>
    <t>https://stolichki.ru)</t>
  </si>
  <si>
    <t>Baby Care:  Pampers</t>
  </si>
  <si>
    <t>подгузники</t>
  </si>
  <si>
    <t>market.yandex.ru(промо),</t>
  </si>
  <si>
    <t>detmir.ru,</t>
  </si>
  <si>
    <t>детские подгузники</t>
  </si>
  <si>
    <t>market.yandex.ru</t>
  </si>
  <si>
    <t>detmir.ru</t>
  </si>
  <si>
    <t>Детские подгузники различаются по нескольким критериям: вес и возраст ребёнка, пол, назначение и способ крепления. uteka.ru</t>
  </si>
  <si>
    <t>Некоторые бренды и модели:</t>
  </si>
  <si>
    <t>Pampers Premium Care. Есть варианты для детей весом 0 (до 3 кг), 1 (2–5 кг) и 2 (4–8 кг). uteka.ru</t>
  </si>
  <si>
    <t>Huggies Elite Soft. Выпускаются для детей весом 0 (до 3,5 кг) и 1 (3–5 кг). uteka.ru</t>
  </si>
  <si>
    <t>Huggies Dry Expert. Одноразовые подгузники-трусики для детей весом 12–17 кг, размер 5. uteka.ru</t>
  </si>
  <si>
    <t>Junion Comfy. Есть подгузники на липучках для детей весом 3–8 кг (размер Newborn-S) и 6–11 кг (размер M).</t>
  </si>
  <si>
    <t>памперс</t>
  </si>
  <si>
    <t>detmir.ru (промо),</t>
  </si>
  <si>
    <t>wildberries.ru </t>
  </si>
  <si>
    <t>pampers</t>
  </si>
  <si>
    <t>pampers.com</t>
  </si>
  <si>
    <t>Pampers (рус. «Памперс») — торговая марка компании Procter &amp; Gamble, выпускающая подгузники и детские влажные салфетки. ru.wikipedia.org*</t>
  </si>
  <si>
    <t>какие подгузники лучше</t>
  </si>
  <si>
    <t>ozon.ru (</t>
  </si>
  <si>
    <t>Некоторые бренды подгузников, которые отмечают как подходящие:</t>
  </si>
  <si>
    <t> vc.ru</t>
  </si>
  <si>
    <t>какие памперсы лучше</t>
  </si>
  <si>
    <t> deti.mail.rumarket.yandex.ru</t>
  </si>
  <si>
    <t>какие подгузники</t>
  </si>
  <si>
    <t>Некоторые популярные бренды одноразовых подгузников:</t>
  </si>
  <si>
    <t>Pampers — предлагает разные линейки продуктов, например, серию Pampers Premium Care с вырезами для пупка, эластичными боковинками и индикатором влаги.</t>
  </si>
  <si>
    <t>Huggies — есть линейки для мальчиков и девочек, ночные подгузники и модели для детей более старшего возраста. Например, серия Huggies Elite Soft с двойными бортиками, кармашками для протекания и зонированием внутри подгузника для разного отделяемого.</t>
  </si>
  <si>
    <t>Moony — подчёркивает мягкость ткани, отсутствие раздражений, эластичные липучки, резинку на спинке и вырез для пупка (среди моделей для новорождённых)</t>
  </si>
  <si>
    <r>
      <t>lenta.com</t>
    </r>
    <r>
      <rPr>
        <sz val="12"/>
        <rFont val="Times New Roman"/>
        <family val="1"/>
        <charset val="204"/>
      </rPr>
      <t>. Предлагает подгузники брендов 365 ДНЕЙ, HUGGIES, JOONIES, LITTLE TIMES, MEPSI, MERRIES, PAMPERS, TANOSHI, YASASHII, YOKOSUN.</t>
    </r>
  </si>
  <si>
    <r>
      <t>Pampers</t>
    </r>
    <r>
      <rPr>
        <sz val="12"/>
        <rFont val="Times New Roman"/>
        <family val="1"/>
        <charset val="204"/>
      </rPr>
      <t xml:space="preserve"> (Памперс) — торговая марка, под которой выпускаются подгузники, подгузники-трусики для детей и влажные салфетки. Бренд принадлежит компании Procter and Gamble.</t>
    </r>
  </si>
  <si>
    <r>
      <t>Merries</t>
    </r>
    <r>
      <rPr>
        <sz val="12"/>
        <rFont val="Times New Roman"/>
        <family val="1"/>
        <charset val="204"/>
      </rPr>
      <t>. Японский бренд премиум-класса с воздухопроницаемым материалом и мягкой текстурой. Отличается надёжной защитой от протеканий и гипоаллергенным составом.</t>
    </r>
  </si>
  <si>
    <r>
      <t>YokoSun</t>
    </r>
    <r>
      <rPr>
        <sz val="12"/>
        <rFont val="Times New Roman"/>
        <family val="1"/>
        <charset val="204"/>
      </rPr>
      <t>. Японские подгузники с индикатором наполнения и анатомической формой. Имеют хорошую впитываемость и эластичные боковинки.</t>
    </r>
  </si>
  <si>
    <r>
      <t>Huggies</t>
    </r>
    <r>
      <rPr>
        <sz val="12"/>
        <rFont val="Times New Roman"/>
        <family val="1"/>
        <charset val="204"/>
      </rPr>
      <t>. Американский бренд с широкой линейкой продукции. Трусики имеют удобные застёжки-липучки для лёгкой смены.</t>
    </r>
  </si>
  <si>
    <r>
      <t>KIOSHI</t>
    </r>
    <r>
      <rPr>
        <sz val="12"/>
        <rFont val="Times New Roman"/>
        <family val="1"/>
        <charset val="204"/>
      </rPr>
      <t>. Японские подгузники с усиленным впитывающим слоем. Особенность — мягкие манжеты вокруг ножек, предотвращающие натирание.</t>
    </r>
  </si>
  <si>
    <r>
      <t>Junion Flexy</t>
    </r>
    <r>
      <rPr>
        <sz val="12"/>
        <rFont val="Times New Roman"/>
        <family val="1"/>
        <charset val="204"/>
      </rPr>
      <t>. Ультратонкие трусики по японской технологии. Внутренний слой — мягкие 3D-подушечки, которые не должны натирать, и анатомическая посадка 360° и ультрамягкий эластичный пояс.</t>
    </r>
  </si>
  <si>
    <r>
      <t>Некоторые модели, которые отмечают как подходящие</t>
    </r>
    <r>
      <rPr>
        <sz val="12"/>
        <rFont val="Times New Roman"/>
        <family val="1"/>
        <charset val="204"/>
      </rPr>
      <t>:</t>
    </r>
  </si>
  <si>
    <r>
      <t>Huggies Elite Soft</t>
    </r>
    <r>
      <rPr>
        <sz val="12"/>
        <rFont val="Times New Roman"/>
        <family val="1"/>
        <charset val="204"/>
      </rPr>
      <t xml:space="preserve"> — подгузники с двумя зонами впитывания — передняя часть поглощает жидкость, а задняя впитывает жидкий стул.</t>
    </r>
  </si>
  <si>
    <r>
      <t>Pampers Premium Care</t>
    </r>
    <r>
      <rPr>
        <sz val="12"/>
        <rFont val="Times New Roman"/>
        <family val="1"/>
        <charset val="204"/>
      </rPr>
      <t xml:space="preserve"> — подгузники с индикатором заполняемости и вырезом под пупок.</t>
    </r>
  </si>
  <si>
    <r>
      <t>Junion Flexy</t>
    </r>
    <r>
      <rPr>
        <sz val="12"/>
        <rFont val="Times New Roman"/>
        <family val="1"/>
        <charset val="204"/>
      </rPr>
      <t xml:space="preserve"> — тонкие подгузники с технологией Flex Absorb, которые не сковывают движений и имеют высокие двойные бортики для защиты от протечек.</t>
    </r>
  </si>
  <si>
    <t xml:space="preserve">Nielsen/GfK (допущение) </t>
  </si>
  <si>
    <t>ФИНАНСОВАЯ МОДЕЛЬ Procter&amp;Gamble</t>
  </si>
  <si>
    <t xml:space="preserve">Мы разработали стратегию продвижения товаров, учитывая влияние генеративных технологий поиска. Для этого мы проанализировали, как именно формируется поисковая выдача и рекомендации в генеративном поиске, какие запросы реально определяют выбор пользователей и какие платформы оказывают наибольшее влияние на итоговое решение о покупке.
Ключевая задача с точки зрения методов ИИ: провести тестирование поисковых срезов в генеративном поиске, чтобы понять, по какому принципу нейросетевые модели (например, лежащие в основе Яндекс.Нейро) отбирают и ранжируют внешние источники. Мы определили и кластеризовали (сгруппировали по типу) индексируемые платформы (обзоры, маркетплейсы, статьи, блоги, экспертные ресурсы), чтобы выявить, каким типам контента нейросети отдают предпочтение при формировании ответа для пользователя. 
Итогом работы стала построенная финансовая модель с расчетом NPV, IRR, ROI и срока окупаемости.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</si>
</sst>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numFmt numFmtId="165" formatCode="0.0%"/>
    <numFmt numFmtId="166" formatCode="0.0"/>
    <numFmt numFmtId="167" formatCode="\$#,##0.00"/>
  </numFmts>
  <fonts count="32" x14ac:knownFonts="1">
    <font>
      <sz val="11"/>
      <color rgb="FF000000"/>
      <name val="Calibri"/>
      <scheme val="minor"/>
    </font>
    <font>
      <sz val="11"/>
      <color theme="1"/>
      <name val="Calibri"/>
      <family val="2"/>
      <charset val="204"/>
      <scheme val="minor"/>
    </font>
    <font>
      <sz val="11"/>
      <color theme="1"/>
      <name val="Calibri"/>
      <family val="2"/>
      <charset val="204"/>
      <scheme val="minor"/>
    </font>
    <font>
      <b/>
      <sz val="24"/>
      <color rgb="FF1F4E79"/>
      <name val="Cambria"/>
      <family val="1"/>
      <charset val="204"/>
    </font>
    <font>
      <b/>
      <sz val="14"/>
      <color rgb="FF1F4E79"/>
      <name val="Cambria"/>
      <family val="1"/>
      <charset val="204"/>
    </font>
    <font>
      <b/>
      <sz val="11"/>
      <color rgb="FFFFFFFF"/>
      <name val="Cambria"/>
      <family val="1"/>
      <charset val="204"/>
    </font>
    <font>
      <b/>
      <sz val="11"/>
      <color theme="1"/>
      <name val="Cambria"/>
      <family val="1"/>
      <charset val="204"/>
    </font>
    <font>
      <b/>
      <sz val="12"/>
      <color rgb="FF008000"/>
      <name val="Cambria"/>
      <family val="1"/>
      <charset val="204"/>
    </font>
    <font>
      <i/>
      <sz val="9"/>
      <color rgb="FF666666"/>
      <name val="Cambria"/>
      <family val="1"/>
      <charset val="204"/>
    </font>
    <font>
      <b/>
      <sz val="11"/>
      <color rgb="FF2E75B6"/>
      <name val="Cambria"/>
      <family val="1"/>
      <charset val="204"/>
    </font>
    <font>
      <sz val="10"/>
      <color theme="1"/>
      <name val="Cambria"/>
      <family val="1"/>
      <charset val="204"/>
    </font>
    <font>
      <b/>
      <sz val="12"/>
      <color rgb="FF1F4E79"/>
      <name val="Cambria"/>
      <family val="1"/>
      <charset val="204"/>
    </font>
    <font>
      <sz val="10"/>
      <color rgb="FF666666"/>
      <name val="Cambria"/>
      <family val="1"/>
      <charset val="204"/>
    </font>
    <font>
      <sz val="11"/>
      <color rgb="FF000000"/>
      <name val="Calibri"/>
      <family val="2"/>
      <charset val="204"/>
    </font>
    <font>
      <b/>
      <sz val="11"/>
      <color rgb="FF0066CC"/>
      <name val="Cambria"/>
      <family val="1"/>
      <charset val="204"/>
    </font>
    <font>
      <i/>
      <sz val="9"/>
      <color theme="1"/>
      <name val="Cambria"/>
      <family val="1"/>
      <charset val="204"/>
    </font>
    <font>
      <sz val="11"/>
      <color rgb="FF000000"/>
      <name val="Cambria"/>
      <family val="1"/>
      <charset val="204"/>
    </font>
    <font>
      <sz val="11"/>
      <color rgb="FF008000"/>
      <name val="Cambria"/>
      <family val="1"/>
      <charset val="204"/>
    </font>
    <font>
      <b/>
      <sz val="11"/>
      <color rgb="FF1F4E79"/>
      <name val="Cambria"/>
      <family val="1"/>
      <charset val="204"/>
    </font>
    <font>
      <b/>
      <sz val="11"/>
      <color rgb="FF000000"/>
      <name val="Cambria"/>
      <family val="1"/>
      <charset val="204"/>
    </font>
    <font>
      <sz val="11"/>
      <color theme="1"/>
      <name val="Calibri"/>
      <family val="2"/>
      <charset val="204"/>
      <scheme val="minor"/>
    </font>
    <font>
      <b/>
      <sz val="11"/>
      <color rgb="FF008000"/>
      <name val="Cambria"/>
      <family val="1"/>
      <charset val="204"/>
    </font>
    <font>
      <b/>
      <sz val="12"/>
      <color rgb="FF000000"/>
      <name val="Cambria"/>
      <family val="1"/>
      <charset val="204"/>
    </font>
    <font>
      <sz val="11"/>
      <color rgb="FF000000"/>
      <name val="Calibri"/>
      <family val="2"/>
      <charset val="204"/>
      <scheme val="minor"/>
    </font>
    <font>
      <sz val="11"/>
      <color rgb="FF000000"/>
      <name val="Times New Roman"/>
      <family val="1"/>
      <charset val="204"/>
    </font>
    <font>
      <u/>
      <sz val="11"/>
      <color theme="10"/>
      <name val="Calibri"/>
      <family val="2"/>
      <charset val="204"/>
      <scheme val="minor"/>
    </font>
    <font>
      <sz val="11"/>
      <name val="Calibri"/>
      <family val="2"/>
      <charset val="204"/>
      <scheme val="minor"/>
    </font>
    <font>
      <sz val="12"/>
      <name val="Times New Roman"/>
      <family val="1"/>
      <charset val="204"/>
    </font>
    <font>
      <u/>
      <sz val="12"/>
      <name val="Times New Roman"/>
      <family val="1"/>
      <charset val="204"/>
    </font>
    <font>
      <i/>
      <sz val="12"/>
      <name val="Times New Roman"/>
      <family val="1"/>
      <charset val="204"/>
    </font>
    <font>
      <b/>
      <sz val="12"/>
      <name val="Times New Roman"/>
      <family val="1"/>
      <charset val="204"/>
    </font>
    <font>
      <sz val="12"/>
      <color rgb="FF000000"/>
      <name val="Calibri"/>
      <family val="2"/>
      <charset val="204"/>
      <scheme val="minor"/>
    </font>
  </fonts>
  <fills count="7">
    <fill>
      <patternFill patternType="none"/>
    </fill>
    <fill>
      <patternFill patternType="gray125"/>
    </fill>
    <fill>
      <patternFill patternType="solid">
        <fgColor rgb="FF1F4E79"/>
      </patternFill>
    </fill>
    <fill>
      <patternFill patternType="solid">
        <fgColor rgb="FFD9D9D9"/>
      </patternFill>
    </fill>
    <fill>
      <patternFill patternType="solid">
        <fgColor theme="0"/>
      </patternFill>
    </fill>
    <fill>
      <patternFill patternType="solid">
        <fgColor rgb="FFFFF3E0"/>
      </patternFill>
    </fill>
    <fill>
      <patternFill patternType="solid">
        <fgColor rgb="FFC9DAF8"/>
      </patternFill>
    </fill>
  </fills>
  <borders count="20">
    <border>
      <left/>
      <right/>
      <top/>
      <bottom/>
      <diagonal/>
    </border>
    <border>
      <left style="thin">
        <color rgb="FFD0D0D0"/>
      </left>
      <right style="thin">
        <color rgb="FFD0D0D0"/>
      </right>
      <top style="thin">
        <color rgb="FFD0D0D0"/>
      </top>
      <bottom style="thin">
        <color rgb="FFD0D0D0"/>
      </bottom>
      <diagonal/>
    </border>
    <border>
      <left style="thin">
        <color rgb="FFD8D8D8"/>
      </left>
      <right style="thin">
        <color rgb="FFD8D8D8"/>
      </right>
      <top style="thin">
        <color rgb="FFD8D8D8"/>
      </top>
      <bottom style="thin">
        <color rgb="FFD8D8D8"/>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3" fillId="0" borderId="0"/>
    <xf numFmtId="0" fontId="25" fillId="0" borderId="0" applyNumberFormat="0" applyFill="0" applyBorder="0" applyAlignment="0" applyProtection="0"/>
  </cellStyleXfs>
  <cellXfs count="121">
    <xf numFmtId="0" fontId="0" fillId="0" borderId="0" xfId="0" applyAlignment="1"/>
    <xf numFmtId="0" fontId="4" fillId="0" borderId="0" xfId="1" applyFont="1"/>
    <xf numFmtId="164" fontId="7" fillId="0" borderId="1" xfId="1" applyNumberFormat="1" applyFont="1" applyBorder="1" applyAlignment="1">
      <alignment horizontal="center" vertical="center" wrapText="1"/>
    </xf>
    <xf numFmtId="0" fontId="8" fillId="0" borderId="1" xfId="1" applyFont="1" applyBorder="1" applyAlignment="1">
      <alignment horizontal="left" vertical="center" wrapText="1"/>
    </xf>
    <xf numFmtId="10" fontId="7" fillId="0" borderId="1" xfId="1" applyNumberFormat="1" applyFont="1" applyBorder="1" applyAlignment="1">
      <alignment horizontal="center" vertical="center" wrapText="1"/>
    </xf>
    <xf numFmtId="165" fontId="7" fillId="0" borderId="1" xfId="1" applyNumberFormat="1" applyFont="1" applyBorder="1" applyAlignment="1">
      <alignment horizontal="center" vertical="center" wrapText="1"/>
    </xf>
    <xf numFmtId="3" fontId="7" fillId="0" borderId="1" xfId="1" applyNumberFormat="1" applyFont="1" applyBorder="1" applyAlignment="1">
      <alignment horizontal="center" vertical="center" wrapText="1"/>
    </xf>
    <xf numFmtId="166" fontId="7" fillId="0" borderId="1" xfId="1" applyNumberFormat="1" applyFont="1" applyBorder="1" applyAlignment="1">
      <alignment horizontal="center" vertical="center" wrapText="1"/>
    </xf>
    <xf numFmtId="0" fontId="9" fillId="0" borderId="1" xfId="1" applyFont="1" applyBorder="1" applyAlignment="1">
      <alignment horizontal="left" vertical="center" wrapText="1"/>
    </xf>
    <xf numFmtId="0" fontId="10" fillId="0" borderId="1" xfId="1" applyFont="1" applyBorder="1" applyAlignment="1">
      <alignment horizontal="left" vertical="center" wrapText="1"/>
    </xf>
    <xf numFmtId="0" fontId="11" fillId="0" borderId="0" xfId="1" applyFont="1"/>
    <xf numFmtId="0" fontId="5" fillId="2" borderId="2" xfId="1" applyFont="1" applyFill="1" applyBorder="1" applyAlignment="1">
      <alignment horizontal="center" vertical="center" wrapText="1"/>
    </xf>
    <xf numFmtId="0" fontId="13" fillId="0" borderId="2" xfId="1" applyFont="1" applyBorder="1" applyAlignment="1">
      <alignment horizontal="center" vertical="center" wrapText="1"/>
    </xf>
    <xf numFmtId="0" fontId="13" fillId="0" borderId="2" xfId="1" applyFont="1" applyBorder="1" applyAlignment="1">
      <alignment horizontal="left" vertical="center" wrapText="1"/>
    </xf>
    <xf numFmtId="0" fontId="13" fillId="0" borderId="2" xfId="1" applyFont="1" applyBorder="1"/>
    <xf numFmtId="0" fontId="14" fillId="0" borderId="2" xfId="1" applyFont="1" applyBorder="1" applyAlignment="1">
      <alignment horizontal="center" vertical="center" wrapText="1"/>
    </xf>
    <xf numFmtId="0" fontId="15" fillId="0" borderId="2" xfId="1" applyFont="1" applyBorder="1" applyAlignment="1">
      <alignment horizontal="left" vertical="center" wrapText="1"/>
    </xf>
    <xf numFmtId="0" fontId="6" fillId="0" borderId="2" xfId="1" applyFont="1" applyBorder="1" applyAlignment="1">
      <alignment horizontal="left" vertical="center" wrapText="1"/>
    </xf>
    <xf numFmtId="3" fontId="16" fillId="0" borderId="2" xfId="1" applyNumberFormat="1" applyFont="1" applyBorder="1" applyAlignment="1">
      <alignment horizontal="center" vertical="center"/>
    </xf>
    <xf numFmtId="165" fontId="14" fillId="0" borderId="2" xfId="1" applyNumberFormat="1" applyFont="1" applyBorder="1" applyAlignment="1">
      <alignment horizontal="center" vertical="center"/>
    </xf>
    <xf numFmtId="0" fontId="11" fillId="0" borderId="2" xfId="1" applyFont="1" applyBorder="1"/>
    <xf numFmtId="9" fontId="14" fillId="0" borderId="2" xfId="1" applyNumberFormat="1" applyFont="1" applyBorder="1" applyAlignment="1">
      <alignment horizontal="center" vertical="center" wrapText="1"/>
    </xf>
    <xf numFmtId="9" fontId="16" fillId="0" borderId="2" xfId="1" applyNumberFormat="1" applyFont="1" applyBorder="1" applyAlignment="1">
      <alignment horizontal="center" vertical="center" wrapText="1"/>
    </xf>
    <xf numFmtId="165" fontId="14" fillId="0" borderId="2" xfId="1" applyNumberFormat="1" applyFont="1" applyBorder="1" applyAlignment="1">
      <alignment horizontal="center" vertical="center" wrapText="1"/>
    </xf>
    <xf numFmtId="0" fontId="6" fillId="3" borderId="2" xfId="1" applyFont="1" applyFill="1" applyBorder="1" applyAlignment="1">
      <alignment horizontal="left" vertical="center" wrapText="1"/>
    </xf>
    <xf numFmtId="4" fontId="14" fillId="3" borderId="2" xfId="1" applyNumberFormat="1" applyFont="1" applyFill="1" applyBorder="1" applyAlignment="1">
      <alignment horizontal="center" vertical="center" wrapText="1"/>
    </xf>
    <xf numFmtId="0" fontId="15" fillId="3" borderId="2" xfId="1" applyFont="1" applyFill="1" applyBorder="1" applyAlignment="1">
      <alignment horizontal="left" vertical="center" wrapText="1"/>
    </xf>
    <xf numFmtId="3" fontId="14" fillId="0" borderId="2" xfId="1" applyNumberFormat="1" applyFont="1" applyBorder="1" applyAlignment="1">
      <alignment horizontal="center" vertical="center" wrapText="1"/>
    </xf>
    <xf numFmtId="4" fontId="16" fillId="0" borderId="2" xfId="1" applyNumberFormat="1" applyFont="1" applyBorder="1" applyAlignment="1">
      <alignment horizontal="center" vertical="center" wrapText="1"/>
    </xf>
    <xf numFmtId="164" fontId="17" fillId="0" borderId="1" xfId="1" applyNumberFormat="1" applyFont="1" applyBorder="1" applyAlignment="1">
      <alignment horizontal="center" vertical="center" wrapText="1"/>
    </xf>
    <xf numFmtId="164" fontId="16" fillId="0" borderId="1" xfId="1" applyNumberFormat="1" applyFont="1" applyBorder="1" applyAlignment="1">
      <alignment horizontal="center" vertical="center" wrapText="1"/>
    </xf>
    <xf numFmtId="0" fontId="18" fillId="0" borderId="1" xfId="1" applyFont="1" applyBorder="1" applyAlignment="1">
      <alignment horizontal="left" vertical="center" wrapText="1"/>
    </xf>
    <xf numFmtId="164" fontId="19" fillId="0" borderId="1" xfId="1" applyNumberFormat="1" applyFont="1" applyBorder="1" applyAlignment="1">
      <alignment horizontal="center" vertical="center" wrapText="1"/>
    </xf>
    <xf numFmtId="0" fontId="13" fillId="0" borderId="0" xfId="1" applyFont="1"/>
    <xf numFmtId="0" fontId="20" fillId="4" borderId="0" xfId="1" applyFont="1" applyFill="1"/>
    <xf numFmtId="0" fontId="14" fillId="0" borderId="1" xfId="1" applyFont="1" applyBorder="1" applyAlignment="1">
      <alignment horizontal="center" vertical="center" wrapText="1"/>
    </xf>
    <xf numFmtId="167" fontId="17" fillId="0" borderId="1" xfId="1" applyNumberFormat="1" applyFont="1" applyBorder="1" applyAlignment="1">
      <alignment horizontal="center" vertical="center" wrapText="1"/>
    </xf>
    <xf numFmtId="0" fontId="5" fillId="2" borderId="1" xfId="1" applyFont="1" applyFill="1" applyBorder="1" applyAlignment="1">
      <alignment horizontal="center" vertical="center" wrapText="1"/>
    </xf>
    <xf numFmtId="164" fontId="14" fillId="0" borderId="1" xfId="1" applyNumberFormat="1" applyFont="1" applyBorder="1" applyAlignment="1">
      <alignment horizontal="center" vertical="center" wrapText="1"/>
    </xf>
    <xf numFmtId="0" fontId="6" fillId="5" borderId="1" xfId="1" applyFont="1" applyFill="1" applyBorder="1" applyAlignment="1">
      <alignment horizontal="left" vertical="center" wrapText="1"/>
    </xf>
    <xf numFmtId="164" fontId="19" fillId="5" borderId="1" xfId="1" applyNumberFormat="1" applyFont="1" applyFill="1" applyBorder="1" applyAlignment="1">
      <alignment horizontal="center" vertical="center" wrapText="1"/>
    </xf>
    <xf numFmtId="0" fontId="6" fillId="0" borderId="1" xfId="1" applyFont="1" applyBorder="1" applyAlignment="1">
      <alignment horizontal="left" vertical="center" wrapText="1"/>
    </xf>
    <xf numFmtId="164" fontId="21" fillId="6" borderId="1" xfId="1" applyNumberFormat="1" applyFont="1" applyFill="1" applyBorder="1" applyAlignment="1">
      <alignment horizontal="center" vertical="center" wrapText="1"/>
    </xf>
    <xf numFmtId="0" fontId="18" fillId="5" borderId="1" xfId="1" applyFont="1" applyFill="1" applyBorder="1" applyAlignment="1">
      <alignment horizontal="left" vertical="center" wrapText="1"/>
    </xf>
    <xf numFmtId="164" fontId="7" fillId="5" borderId="1" xfId="1" applyNumberFormat="1" applyFont="1" applyFill="1" applyBorder="1" applyAlignment="1">
      <alignment horizontal="center" vertical="center" wrapText="1"/>
    </xf>
    <xf numFmtId="165" fontId="22" fillId="5" borderId="1" xfId="1" applyNumberFormat="1" applyFont="1" applyFill="1" applyBorder="1" applyAlignment="1">
      <alignment horizontal="center" vertical="center" wrapText="1"/>
    </xf>
    <xf numFmtId="1" fontId="22" fillId="5" borderId="1" xfId="1" applyNumberFormat="1" applyFont="1" applyFill="1" applyBorder="1" applyAlignment="1">
      <alignment horizontal="center" vertical="center" wrapText="1"/>
    </xf>
    <xf numFmtId="167" fontId="22" fillId="5" borderId="1" xfId="1" applyNumberFormat="1" applyFont="1" applyFill="1" applyBorder="1" applyAlignment="1">
      <alignment horizontal="center" vertical="center" wrapText="1"/>
    </xf>
    <xf numFmtId="2" fontId="22" fillId="5" borderId="1" xfId="1" applyNumberFormat="1" applyFont="1" applyFill="1" applyBorder="1" applyAlignment="1">
      <alignment horizontal="center" vertical="center" wrapText="1"/>
    </xf>
    <xf numFmtId="0" fontId="15" fillId="0" borderId="1" xfId="1" applyFont="1" applyBorder="1" applyAlignment="1">
      <alignment horizontal="left" vertical="center" wrapText="1"/>
    </xf>
    <xf numFmtId="165" fontId="19" fillId="0" borderId="1" xfId="1" applyNumberFormat="1" applyFont="1" applyBorder="1" applyAlignment="1">
      <alignment horizontal="center" vertical="center" wrapText="1"/>
    </xf>
    <xf numFmtId="164" fontId="21" fillId="5" borderId="1" xfId="1" applyNumberFormat="1" applyFont="1" applyFill="1" applyBorder="1" applyAlignment="1">
      <alignment horizontal="center" vertical="center" wrapText="1"/>
    </xf>
    <xf numFmtId="164" fontId="20" fillId="0" borderId="0" xfId="1" applyNumberFormat="1" applyFont="1"/>
    <xf numFmtId="0" fontId="20" fillId="0" borderId="0" xfId="1" applyFont="1"/>
    <xf numFmtId="0" fontId="0" fillId="0" borderId="0" xfId="1" applyFont="1"/>
    <xf numFmtId="0" fontId="12" fillId="0" borderId="0" xfId="1" applyFont="1" applyAlignment="1">
      <alignment horizontal="left" vertical="center"/>
    </xf>
    <xf numFmtId="165" fontId="20" fillId="0" borderId="0" xfId="1" applyNumberFormat="1" applyFont="1"/>
    <xf numFmtId="164" fontId="20" fillId="0" borderId="0" xfId="1" applyNumberFormat="1" applyFont="1"/>
    <xf numFmtId="0" fontId="0" fillId="0" borderId="0" xfId="1" applyFont="1"/>
    <xf numFmtId="164" fontId="13" fillId="0" borderId="0" xfId="1" applyNumberFormat="1" applyFont="1"/>
    <xf numFmtId="0" fontId="2" fillId="0" borderId="0" xfId="1" applyFont="1"/>
    <xf numFmtId="0" fontId="1" fillId="0" borderId="0" xfId="1" applyFont="1"/>
    <xf numFmtId="0" fontId="0" fillId="0" borderId="0" xfId="1" applyFont="1"/>
    <xf numFmtId="0" fontId="26" fillId="0" borderId="0" xfId="0" applyFont="1" applyAlignment="1"/>
    <xf numFmtId="0" fontId="27" fillId="0" borderId="3" xfId="0" applyFont="1" applyBorder="1" applyAlignment="1">
      <alignment vertical="center" wrapText="1"/>
    </xf>
    <xf numFmtId="0" fontId="27" fillId="0" borderId="4" xfId="0" applyFont="1" applyBorder="1" applyAlignment="1">
      <alignment vertical="center" wrapText="1"/>
    </xf>
    <xf numFmtId="0" fontId="28" fillId="0" borderId="8" xfId="2" applyFont="1" applyBorder="1" applyAlignment="1">
      <alignment vertical="center" wrapText="1"/>
    </xf>
    <xf numFmtId="0" fontId="28" fillId="0" borderId="9" xfId="2" applyFont="1" applyBorder="1" applyAlignment="1">
      <alignment vertical="center" wrapText="1"/>
    </xf>
    <xf numFmtId="0" fontId="28" fillId="0" borderId="10" xfId="2" applyFont="1" applyBorder="1" applyAlignment="1">
      <alignment vertical="center" wrapText="1"/>
    </xf>
    <xf numFmtId="0" fontId="27" fillId="0" borderId="4" xfId="0" applyFont="1" applyBorder="1" applyAlignment="1">
      <alignment vertical="top" wrapText="1"/>
    </xf>
    <xf numFmtId="3" fontId="27" fillId="0" borderId="4" xfId="0" applyNumberFormat="1" applyFont="1" applyBorder="1" applyAlignment="1">
      <alignment vertical="center" wrapText="1"/>
    </xf>
    <xf numFmtId="0" fontId="28" fillId="0" borderId="4" xfId="0" applyFont="1" applyBorder="1" applyAlignment="1">
      <alignment vertical="center" wrapText="1"/>
    </xf>
    <xf numFmtId="0" fontId="28" fillId="0" borderId="10" xfId="0" applyFont="1" applyBorder="1" applyAlignment="1">
      <alignment vertical="center" wrapText="1"/>
    </xf>
    <xf numFmtId="0" fontId="28" fillId="0" borderId="4" xfId="2" applyFont="1" applyBorder="1" applyAlignment="1">
      <alignment vertical="center" wrapText="1"/>
    </xf>
    <xf numFmtId="0" fontId="27" fillId="0" borderId="8" xfId="0" applyFont="1" applyBorder="1" applyAlignment="1">
      <alignment vertical="center" wrapText="1"/>
    </xf>
    <xf numFmtId="0" fontId="27" fillId="0" borderId="9" xfId="0" applyFont="1" applyBorder="1" applyAlignment="1">
      <alignment vertical="center" wrapText="1"/>
    </xf>
    <xf numFmtId="0" fontId="27" fillId="0" borderId="10" xfId="0" applyFont="1" applyBorder="1" applyAlignment="1">
      <alignment vertical="center" wrapText="1"/>
    </xf>
    <xf numFmtId="0" fontId="24" fillId="0" borderId="0" xfId="0" applyFont="1" applyAlignment="1">
      <alignment vertical="center"/>
    </xf>
    <xf numFmtId="0" fontId="27" fillId="0" borderId="11" xfId="0" applyFont="1" applyBorder="1" applyAlignment="1">
      <alignment vertical="center" wrapText="1"/>
    </xf>
    <xf numFmtId="0" fontId="28" fillId="0" borderId="11" xfId="2" applyFont="1" applyBorder="1" applyAlignment="1">
      <alignment vertical="center" wrapText="1"/>
    </xf>
    <xf numFmtId="0" fontId="27" fillId="0" borderId="11" xfId="0" applyFont="1" applyBorder="1" applyAlignment="1">
      <alignment horizontal="left" vertical="center" wrapText="1" indent="1"/>
    </xf>
    <xf numFmtId="0" fontId="27" fillId="0" borderId="11" xfId="0" applyFont="1" applyBorder="1" applyAlignment="1">
      <alignment vertical="top" wrapText="1"/>
    </xf>
    <xf numFmtId="0" fontId="29" fillId="0" borderId="11" xfId="0" applyFont="1" applyBorder="1" applyAlignment="1">
      <alignment vertical="center" wrapText="1"/>
    </xf>
    <xf numFmtId="0" fontId="28" fillId="0" borderId="11" xfId="2" applyFont="1" applyBorder="1" applyAlignment="1">
      <alignment horizontal="left" vertical="center" wrapText="1" indent="1"/>
    </xf>
    <xf numFmtId="0" fontId="30" fillId="0" borderId="11" xfId="0" applyFont="1" applyBorder="1" applyAlignment="1">
      <alignment vertical="center" wrapText="1"/>
    </xf>
    <xf numFmtId="0" fontId="30" fillId="0" borderId="11" xfId="0" applyFont="1" applyBorder="1" applyAlignment="1">
      <alignment horizontal="left" vertical="center" wrapText="1" indent="1"/>
    </xf>
    <xf numFmtId="0" fontId="0" fillId="0" borderId="0" xfId="1" applyFont="1"/>
    <xf numFmtId="0" fontId="3" fillId="0" borderId="0" xfId="1" applyFont="1" applyAlignment="1">
      <alignment horizontal="center" vertical="center"/>
    </xf>
    <xf numFmtId="0" fontId="0" fillId="0" borderId="0" xfId="1" applyFont="1"/>
    <xf numFmtId="0" fontId="31" fillId="0" borderId="12" xfId="1" applyFont="1" applyBorder="1" applyAlignment="1">
      <alignment horizontal="center" wrapText="1"/>
    </xf>
    <xf numFmtId="0" fontId="0" fillId="0" borderId="13" xfId="1" applyFont="1" applyBorder="1" applyAlignment="1">
      <alignment horizontal="center"/>
    </xf>
    <xf numFmtId="0" fontId="0" fillId="0" borderId="14" xfId="1" applyFont="1" applyBorder="1" applyAlignment="1">
      <alignment horizontal="center"/>
    </xf>
    <xf numFmtId="0" fontId="0" fillId="0" borderId="15" xfId="1" applyFont="1" applyBorder="1" applyAlignment="1">
      <alignment horizontal="center"/>
    </xf>
    <xf numFmtId="0" fontId="0" fillId="0" borderId="0" xfId="1" applyFont="1" applyBorder="1" applyAlignment="1">
      <alignment horizontal="center"/>
    </xf>
    <xf numFmtId="0" fontId="0" fillId="0" borderId="16" xfId="1" applyFont="1" applyBorder="1" applyAlignment="1">
      <alignment horizontal="center"/>
    </xf>
    <xf numFmtId="0" fontId="0" fillId="0" borderId="17" xfId="1" applyFont="1" applyBorder="1" applyAlignment="1">
      <alignment horizontal="center"/>
    </xf>
    <xf numFmtId="0" fontId="0" fillId="0" borderId="18" xfId="1" applyFont="1" applyBorder="1" applyAlignment="1">
      <alignment horizontal="center"/>
    </xf>
    <xf numFmtId="0" fontId="0" fillId="0" borderId="19" xfId="1" applyFont="1" applyBorder="1" applyAlignment="1">
      <alignment horizontal="center"/>
    </xf>
    <xf numFmtId="0" fontId="30" fillId="0" borderId="11" xfId="0" applyFont="1" applyBorder="1" applyAlignment="1">
      <alignment horizontal="left" vertical="center" wrapText="1" indent="1"/>
    </xf>
    <xf numFmtId="0" fontId="27" fillId="0" borderId="11" xfId="0" applyFont="1" applyBorder="1" applyAlignment="1">
      <alignment vertical="center" wrapText="1"/>
    </xf>
    <xf numFmtId="3" fontId="27" fillId="0" borderId="11" xfId="0" applyNumberFormat="1" applyFont="1" applyBorder="1" applyAlignment="1">
      <alignment vertical="center" wrapText="1"/>
    </xf>
    <xf numFmtId="0" fontId="30" fillId="0" borderId="11" xfId="0" applyFont="1" applyBorder="1" applyAlignment="1">
      <alignment vertical="center" wrapText="1"/>
    </xf>
    <xf numFmtId="0" fontId="28" fillId="0" borderId="11" xfId="2" applyFont="1" applyBorder="1" applyAlignment="1">
      <alignment vertical="center" wrapText="1"/>
    </xf>
    <xf numFmtId="0" fontId="27" fillId="0" borderId="5" xfId="0" applyFont="1" applyBorder="1" applyAlignment="1">
      <alignment vertical="center" wrapText="1"/>
    </xf>
    <xf numFmtId="0" fontId="27" fillId="0" borderId="6" xfId="0" applyFont="1" applyBorder="1" applyAlignment="1">
      <alignment vertical="center" wrapText="1"/>
    </xf>
    <xf numFmtId="0" fontId="27" fillId="0" borderId="7" xfId="0" applyFont="1" applyBorder="1" applyAlignment="1">
      <alignment vertical="center" wrapText="1"/>
    </xf>
    <xf numFmtId="0" fontId="27" fillId="0" borderId="8" xfId="0" applyFont="1" applyBorder="1" applyAlignment="1">
      <alignment vertical="center" wrapText="1"/>
    </xf>
    <xf numFmtId="0" fontId="27" fillId="0" borderId="9" xfId="0" applyFont="1" applyBorder="1" applyAlignment="1">
      <alignment vertical="center" wrapText="1"/>
    </xf>
    <xf numFmtId="0" fontId="27" fillId="0" borderId="10" xfId="0" applyFont="1" applyBorder="1" applyAlignment="1">
      <alignment vertical="center" wrapText="1"/>
    </xf>
    <xf numFmtId="3" fontId="27" fillId="0" borderId="8" xfId="0" applyNumberFormat="1" applyFont="1" applyBorder="1" applyAlignment="1">
      <alignment vertical="center" wrapText="1"/>
    </xf>
    <xf numFmtId="3" fontId="27" fillId="0" borderId="9" xfId="0" applyNumberFormat="1" applyFont="1" applyBorder="1" applyAlignment="1">
      <alignment vertical="center" wrapText="1"/>
    </xf>
    <xf numFmtId="3" fontId="27" fillId="0" borderId="10" xfId="0" applyNumberFormat="1" applyFont="1" applyBorder="1" applyAlignment="1">
      <alignment vertical="center" wrapText="1"/>
    </xf>
    <xf numFmtId="0" fontId="27" fillId="0" borderId="8" xfId="0" applyFont="1" applyBorder="1" applyAlignment="1">
      <alignment vertical="top" wrapText="1"/>
    </xf>
    <xf numFmtId="0" fontId="27" fillId="0" borderId="9" xfId="0" applyFont="1" applyBorder="1" applyAlignment="1">
      <alignment vertical="top" wrapText="1"/>
    </xf>
    <xf numFmtId="0" fontId="27" fillId="0" borderId="10" xfId="0" applyFont="1" applyBorder="1" applyAlignment="1">
      <alignment vertical="top" wrapText="1"/>
    </xf>
    <xf numFmtId="0" fontId="28" fillId="0" borderId="8" xfId="0" applyFont="1" applyBorder="1" applyAlignment="1">
      <alignment vertical="center" wrapText="1"/>
    </xf>
    <xf numFmtId="0" fontId="28" fillId="0" borderId="9" xfId="0" applyFont="1" applyBorder="1" applyAlignment="1">
      <alignment vertical="center" wrapText="1"/>
    </xf>
    <xf numFmtId="0" fontId="28" fillId="0" borderId="10" xfId="0" applyFont="1" applyBorder="1" applyAlignment="1">
      <alignment vertical="center" wrapText="1"/>
    </xf>
    <xf numFmtId="0" fontId="28" fillId="0" borderId="8" xfId="2" applyFont="1" applyBorder="1" applyAlignment="1">
      <alignment vertical="center" wrapText="1"/>
    </xf>
    <xf numFmtId="0" fontId="28" fillId="0" borderId="9" xfId="2" applyFont="1" applyBorder="1" applyAlignment="1">
      <alignment vertical="center" wrapText="1"/>
    </xf>
    <xf numFmtId="0" fontId="28" fillId="0" borderId="10" xfId="2" applyFont="1" applyBorder="1" applyAlignment="1">
      <alignment vertical="center" wrapText="1"/>
    </xf>
  </cellXfs>
  <cellStyles count="3">
    <cellStyle name="Normal" xfId="1" xr:uid="{00000000-0005-0000-0000-000000000000}"/>
    <cellStyle name="Гиперссылка" xfId="2" builtinId="8"/>
    <cellStyle name="Обычный" xfId="0" builtinId="0"/>
  </cellStyles>
  <dxfs count="1">
    <dxf>
      <fill>
        <patternFill>
          <bgColor rgb="FFB7E1CD"/>
        </patternFill>
      </fill>
    </dxf>
  </dxfs>
  <tableStyles count="0" defaultTableStyle="TableStyleMedium2" defaultPivotStyle="PivotStyleLight16"/>
  <colors>
    <mruColors>
      <color rgb="FFE4002B"/>
      <color rgb="FF0033A0"/>
      <color rgb="FFF59E0B"/>
      <color rgb="FF10B981"/>
      <color rgb="FF4A90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654d09e7ce914026"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745732535860598"/>
          <c:y val="0.14583382061667871"/>
          <c:w val="0.85254267464139399"/>
          <c:h val="0.75429665267697366"/>
        </c:manualLayout>
      </c:layout>
      <c:lineChart>
        <c:grouping val="standard"/>
        <c:varyColors val="0"/>
        <c:ser>
          <c:idx val="0"/>
          <c:order val="0"/>
          <c:tx>
            <c:strRef>
              <c:f>Прогноз_Выручки!$C$31</c:f>
              <c:strCache>
                <c:ptCount val="1"/>
                <c:pt idx="0">
                  <c:v>Oral Care</c:v>
                </c:pt>
              </c:strCache>
            </c:strRef>
          </c:tx>
          <c:spPr>
            <a:ln w="28575" cap="rnd">
              <a:solidFill>
                <a:srgbClr val="4A90E2"/>
              </a:solidFill>
              <a:round/>
            </a:ln>
            <a:effectLst/>
          </c:spPr>
          <c:marker>
            <c:symbol val="circle"/>
            <c:size val="5"/>
            <c:spPr>
              <a:solidFill>
                <a:srgbClr val="4A90E2"/>
              </a:solidFill>
              <a:ln w="9525">
                <a:solidFill>
                  <a:schemeClr val="accent1"/>
                </a:solidFill>
              </a:ln>
              <a:effectLst/>
            </c:spPr>
          </c:marker>
          <c:cat>
            <c:numRef>
              <c:f>Прогноз_Выручки!$B$32:$B$36</c:f>
              <c:numCache>
                <c:formatCode>General</c:formatCode>
                <c:ptCount val="5"/>
                <c:pt idx="0">
                  <c:v>2026</c:v>
                </c:pt>
                <c:pt idx="1">
                  <c:v>2027</c:v>
                </c:pt>
                <c:pt idx="2">
                  <c:v>2028</c:v>
                </c:pt>
                <c:pt idx="3">
                  <c:v>2029</c:v>
                </c:pt>
                <c:pt idx="4">
                  <c:v>2030</c:v>
                </c:pt>
              </c:numCache>
            </c:numRef>
          </c:cat>
          <c:val>
            <c:numRef>
              <c:f>Прогноз_Выручки!$C$32:$C$36</c:f>
              <c:numCache>
                <c:formatCode>\$#\ ##0</c:formatCode>
                <c:ptCount val="5"/>
                <c:pt idx="0">
                  <c:v>173511222.5</c:v>
                </c:pt>
                <c:pt idx="1">
                  <c:v>179946058.845</c:v>
                </c:pt>
                <c:pt idx="2">
                  <c:v>186294229.105425</c:v>
                </c:pt>
                <c:pt idx="3">
                  <c:v>192535244.07853925</c:v>
                </c:pt>
                <c:pt idx="4">
                  <c:v>198647178.27237049</c:v>
                </c:pt>
              </c:numCache>
            </c:numRef>
          </c:val>
          <c:smooth val="0"/>
          <c:extLst>
            <c:ext xmlns:c16="http://schemas.microsoft.com/office/drawing/2014/chart" uri="{C3380CC4-5D6E-409C-BE32-E72D297353CC}">
              <c16:uniqueId val="{00000000-AD92-4461-B571-A382851E3A7F}"/>
            </c:ext>
          </c:extLst>
        </c:ser>
        <c:ser>
          <c:idx val="1"/>
          <c:order val="1"/>
          <c:tx>
            <c:strRef>
              <c:f>Прогноз_Выручки!$D$31</c:f>
              <c:strCache>
                <c:ptCount val="1"/>
                <c:pt idx="0">
                  <c:v>Baby Care</c:v>
                </c:pt>
              </c:strCache>
            </c:strRef>
          </c:tx>
          <c:spPr>
            <a:ln w="28575" cap="rnd">
              <a:solidFill>
                <a:srgbClr val="E4002B"/>
              </a:solidFill>
              <a:round/>
            </a:ln>
            <a:effectLst/>
          </c:spPr>
          <c:marker>
            <c:symbol val="circle"/>
            <c:size val="5"/>
            <c:spPr>
              <a:solidFill>
                <a:srgbClr val="E4002B"/>
              </a:solidFill>
              <a:ln w="9525">
                <a:solidFill>
                  <a:schemeClr val="accent2"/>
                </a:solidFill>
              </a:ln>
              <a:effectLst/>
            </c:spPr>
          </c:marker>
          <c:cat>
            <c:numRef>
              <c:f>Прогноз_Выручки!$B$32:$B$36</c:f>
              <c:numCache>
                <c:formatCode>General</c:formatCode>
                <c:ptCount val="5"/>
                <c:pt idx="0">
                  <c:v>2026</c:v>
                </c:pt>
                <c:pt idx="1">
                  <c:v>2027</c:v>
                </c:pt>
                <c:pt idx="2">
                  <c:v>2028</c:v>
                </c:pt>
                <c:pt idx="3">
                  <c:v>2029</c:v>
                </c:pt>
                <c:pt idx="4">
                  <c:v>2030</c:v>
                </c:pt>
              </c:numCache>
            </c:numRef>
          </c:cat>
          <c:val>
            <c:numRef>
              <c:f>Прогноз_Выручки!$D$32:$D$36</c:f>
              <c:numCache>
                <c:formatCode>\$#\ ##0</c:formatCode>
                <c:ptCount val="5"/>
                <c:pt idx="0">
                  <c:v>535179557.5</c:v>
                </c:pt>
                <c:pt idx="1">
                  <c:v>551801760.01250005</c:v>
                </c:pt>
                <c:pt idx="2">
                  <c:v>568089640.07359374</c:v>
                </c:pt>
                <c:pt idx="3">
                  <c:v>583995319.05030084</c:v>
                </c:pt>
                <c:pt idx="4">
                  <c:v>599468213.98867774</c:v>
                </c:pt>
              </c:numCache>
            </c:numRef>
          </c:val>
          <c:smooth val="0"/>
          <c:extLst>
            <c:ext xmlns:c16="http://schemas.microsoft.com/office/drawing/2014/chart" uri="{C3380CC4-5D6E-409C-BE32-E72D297353CC}">
              <c16:uniqueId val="{00000001-AD92-4461-B571-A382851E3A7F}"/>
            </c:ext>
          </c:extLst>
        </c:ser>
        <c:ser>
          <c:idx val="2"/>
          <c:order val="2"/>
          <c:tx>
            <c:strRef>
              <c:f>Прогноз_Выручки!$E$31</c:f>
              <c:strCache>
                <c:ptCount val="1"/>
                <c:pt idx="0">
                  <c:v>Hair Care</c:v>
                </c:pt>
              </c:strCache>
            </c:strRef>
          </c:tx>
          <c:spPr>
            <a:ln w="28575" cap="rnd">
              <a:solidFill>
                <a:srgbClr val="0033A0"/>
              </a:solidFill>
              <a:round/>
            </a:ln>
            <a:effectLst/>
          </c:spPr>
          <c:marker>
            <c:symbol val="circle"/>
            <c:size val="5"/>
            <c:spPr>
              <a:solidFill>
                <a:srgbClr val="0033A0"/>
              </a:solidFill>
              <a:ln w="9525">
                <a:solidFill>
                  <a:schemeClr val="accent3"/>
                </a:solidFill>
              </a:ln>
              <a:effectLst/>
            </c:spPr>
          </c:marker>
          <c:cat>
            <c:numRef>
              <c:f>Прогноз_Выручки!$B$32:$B$36</c:f>
              <c:numCache>
                <c:formatCode>General</c:formatCode>
                <c:ptCount val="5"/>
                <c:pt idx="0">
                  <c:v>2026</c:v>
                </c:pt>
                <c:pt idx="1">
                  <c:v>2027</c:v>
                </c:pt>
                <c:pt idx="2">
                  <c:v>2028</c:v>
                </c:pt>
                <c:pt idx="3">
                  <c:v>2029</c:v>
                </c:pt>
                <c:pt idx="4">
                  <c:v>2030</c:v>
                </c:pt>
              </c:numCache>
            </c:numRef>
          </c:cat>
          <c:val>
            <c:numRef>
              <c:f>Прогноз_Выручки!$E$32:$E$36</c:f>
              <c:numCache>
                <c:formatCode>\$#\ ##0</c:formatCode>
                <c:ptCount val="5"/>
                <c:pt idx="0">
                  <c:v>601852857.64999998</c:v>
                </c:pt>
                <c:pt idx="1">
                  <c:v>624173169.77129996</c:v>
                </c:pt>
                <c:pt idx="2">
                  <c:v>646192866.00210452</c:v>
                </c:pt>
                <c:pt idx="3">
                  <c:v>667840876.09669805</c:v>
                </c:pt>
                <c:pt idx="4">
                  <c:v>689041147.79858208</c:v>
                </c:pt>
              </c:numCache>
            </c:numRef>
          </c:val>
          <c:smooth val="0"/>
          <c:extLst>
            <c:ext xmlns:c16="http://schemas.microsoft.com/office/drawing/2014/chart" uri="{C3380CC4-5D6E-409C-BE32-E72D297353CC}">
              <c16:uniqueId val="{00000002-AD92-4461-B571-A382851E3A7F}"/>
            </c:ext>
          </c:extLst>
        </c:ser>
        <c:dLbls>
          <c:showLegendKey val="0"/>
          <c:showVal val="0"/>
          <c:showCatName val="0"/>
          <c:showSerName val="0"/>
          <c:showPercent val="0"/>
          <c:showBubbleSize val="0"/>
        </c:dLbls>
        <c:marker val="1"/>
        <c:smooth val="0"/>
        <c:axId val="1109552879"/>
        <c:axId val="1109559951"/>
      </c:lineChart>
      <c:catAx>
        <c:axId val="1109552879"/>
        <c:scaling>
          <c:orientation val="minMax"/>
        </c:scaling>
        <c:delete val="0"/>
        <c:axPos val="b"/>
        <c:numFmt formatCode="General" sourceLinked="1"/>
        <c:majorTickMark val="none"/>
        <c:minorTickMark val="in"/>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09559951"/>
        <c:crosses val="autoZero"/>
        <c:auto val="1"/>
        <c:lblAlgn val="ctr"/>
        <c:lblOffset val="100"/>
        <c:noMultiLvlLbl val="0"/>
      </c:catAx>
      <c:valAx>
        <c:axId val="1109559951"/>
        <c:scaling>
          <c:orientation val="minMax"/>
        </c:scaling>
        <c:delete val="0"/>
        <c:axPos val="l"/>
        <c:majorGridlines>
          <c:spPr>
            <a:ln w="9525" cap="flat" cmpd="sng" algn="ctr">
              <a:solidFill>
                <a:srgbClr val="000000"/>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09552879"/>
        <c:crossesAt val="1"/>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doughnutChart>
        <c:varyColors val="1"/>
        <c:ser>
          <c:idx val="0"/>
          <c:order val="0"/>
          <c:tx>
            <c:strRef>
              <c:f>Метрики_Итог!$E$16</c:f>
              <c:strCache>
                <c:ptCount val="1"/>
                <c:pt idx="0">
                  <c:v>ROI категории</c:v>
                </c:pt>
              </c:strCache>
            </c:strRef>
          </c:tx>
          <c:dPt>
            <c:idx val="0"/>
            <c:bubble3D val="0"/>
            <c:spPr>
              <a:solidFill>
                <a:srgbClr val="4A90E2"/>
              </a:solidFill>
              <a:ln w="19050">
                <a:solidFill>
                  <a:schemeClr val="lt1"/>
                </a:solidFill>
              </a:ln>
              <a:effectLst/>
            </c:spPr>
            <c:extLst>
              <c:ext xmlns:c16="http://schemas.microsoft.com/office/drawing/2014/chart" uri="{C3380CC4-5D6E-409C-BE32-E72D297353CC}">
                <c16:uniqueId val="{00000003-4C20-489C-A773-9FB4CF782E2B}"/>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4-4C20-489C-A773-9FB4CF782E2B}"/>
              </c:ext>
            </c:extLst>
          </c:dPt>
          <c:dPt>
            <c:idx val="2"/>
            <c:bubble3D val="0"/>
            <c:spPr>
              <a:solidFill>
                <a:srgbClr val="0033A0"/>
              </a:solidFill>
              <a:ln w="19050">
                <a:solidFill>
                  <a:schemeClr val="lt1"/>
                </a:solidFill>
              </a:ln>
              <a:effectLst/>
            </c:spPr>
            <c:extLst>
              <c:ext xmlns:c16="http://schemas.microsoft.com/office/drawing/2014/chart" uri="{C3380CC4-5D6E-409C-BE32-E72D297353CC}">
                <c16:uniqueId val="{00000002-4C20-489C-A773-9FB4CF782E2B}"/>
              </c:ext>
            </c:extLst>
          </c:dPt>
          <c:dLbls>
            <c:dLbl>
              <c:idx val="0"/>
              <c:layout>
                <c:manualLayout>
                  <c:x val="0.16754753216823498"/>
                  <c:y val="-0.15046296296296297"/>
                </c:manualLayout>
              </c:layout>
              <c:spPr>
                <a:noFill/>
                <a:ln>
                  <a:solidFill>
                    <a:srgbClr val="000000"/>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ru-RU"/>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accentCallout2">
                      <a:avLst/>
                    </a:prstGeom>
                    <a:noFill/>
                    <a:ln>
                      <a:noFill/>
                    </a:ln>
                  </c15:spPr>
                  <c15:layout>
                    <c:manualLayout>
                      <c:w val="0.15618697053112263"/>
                      <c:h val="0.13987897346165062"/>
                    </c:manualLayout>
                  </c15:layout>
                </c:ext>
                <c:ext xmlns:c16="http://schemas.microsoft.com/office/drawing/2014/chart" uri="{C3380CC4-5D6E-409C-BE32-E72D297353CC}">
                  <c16:uniqueId val="{00000003-4C20-489C-A773-9FB4CF782E2B}"/>
                </c:ext>
              </c:extLst>
            </c:dLbl>
            <c:dLbl>
              <c:idx val="1"/>
              <c:layout>
                <c:manualLayout>
                  <c:x val="0.11944444444444445"/>
                  <c:y val="0.2037037037037037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C20-489C-A773-9FB4CF782E2B}"/>
                </c:ext>
              </c:extLst>
            </c:dLbl>
            <c:dLbl>
              <c:idx val="2"/>
              <c:layout>
                <c:manualLayout>
                  <c:x val="-0.13910884728789727"/>
                  <c:y val="-0.21527759550889472"/>
                </c:manualLayout>
              </c:layout>
              <c:spPr>
                <a:xfrm>
                  <a:off x="446526" y="554021"/>
                  <a:ext cx="643406" cy="612315"/>
                </a:xfrm>
                <a:noFill/>
                <a:ln w="9525" cap="flat" cmpd="sng" algn="ctr">
                  <a:solidFill>
                    <a:schemeClr val="tx1"/>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ru-RU"/>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accentCallout2">
                      <a:avLst>
                        <a:gd name="adj1" fmla="val 123284"/>
                        <a:gd name="adj2" fmla="val -2526"/>
                        <a:gd name="adj3" fmla="val 124529"/>
                        <a:gd name="adj4" fmla="val 109925"/>
                        <a:gd name="adj5" fmla="val 156402"/>
                        <a:gd name="adj6" fmla="val 174253"/>
                      </a:avLst>
                    </a:prstGeom>
                    <a:noFill/>
                    <a:ln>
                      <a:noFill/>
                    </a:ln>
                  </c15:spPr>
                  <c15:layout>
                    <c:manualLayout>
                      <c:w val="0.11243206782907129"/>
                      <c:h val="0.22321230679498391"/>
                    </c:manualLayout>
                  </c15:layout>
                </c:ext>
                <c:ext xmlns:c16="http://schemas.microsoft.com/office/drawing/2014/chart" uri="{C3380CC4-5D6E-409C-BE32-E72D297353CC}">
                  <c16:uniqueId val="{00000002-4C20-489C-A773-9FB4CF782E2B}"/>
                </c:ext>
              </c:extLst>
            </c:dLbl>
            <c:spPr>
              <a:noFill/>
              <a:ln>
                <a:solidFill>
                  <a:srgbClr val="000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ru-RU"/>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accentCallout2">
                    <a:avLst/>
                  </a:prstGeom>
                  <a:noFill/>
                  <a:ln>
                    <a:noFill/>
                  </a:ln>
                </c15:spPr>
              </c:ext>
            </c:extLst>
          </c:dLbls>
          <c:cat>
            <c:strRef>
              <c:f>Метрики_Итог!$B$17:$B$19</c:f>
              <c:strCache>
                <c:ptCount val="3"/>
                <c:pt idx="0">
                  <c:v>Oral Care</c:v>
                </c:pt>
                <c:pt idx="1">
                  <c:v>Baby Care</c:v>
                </c:pt>
                <c:pt idx="2">
                  <c:v>Hair Care</c:v>
                </c:pt>
              </c:strCache>
            </c:strRef>
          </c:cat>
          <c:val>
            <c:numRef>
              <c:f>Метрики_Итог!$E$17:$E$19</c:f>
              <c:numCache>
                <c:formatCode>0.0%</c:formatCode>
                <c:ptCount val="3"/>
                <c:pt idx="0">
                  <c:v>1.1540681485760258</c:v>
                </c:pt>
                <c:pt idx="1">
                  <c:v>4.6078495820166969</c:v>
                </c:pt>
                <c:pt idx="2">
                  <c:v>6.4243120085792791</c:v>
                </c:pt>
              </c:numCache>
            </c:numRef>
          </c:val>
          <c:extLst>
            <c:ext xmlns:c16="http://schemas.microsoft.com/office/drawing/2014/chart" uri="{C3380CC4-5D6E-409C-BE32-E72D297353CC}">
              <c16:uniqueId val="{00000000-4C20-489C-A773-9FB4CF782E2B}"/>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Графики!$D$44</c:f>
              <c:strCache>
                <c:ptCount val="1"/>
                <c:pt idx="0">
                  <c:v>NPV (USD)</c:v>
                </c:pt>
              </c:strCache>
            </c:strRef>
          </c:tx>
          <c:spPr>
            <a:solidFill>
              <a:srgbClr val="4A90E2"/>
            </a:solidFill>
            <a:ln>
              <a:noFill/>
            </a:ln>
            <a:effectLst/>
          </c:spPr>
          <c:invertIfNegative val="0"/>
          <c:dPt>
            <c:idx val="0"/>
            <c:invertIfNegative val="0"/>
            <c:bubble3D val="0"/>
            <c:spPr>
              <a:solidFill>
                <a:srgbClr val="F59E0B"/>
              </a:solidFill>
              <a:ln>
                <a:noFill/>
              </a:ln>
              <a:effectLst/>
            </c:spPr>
            <c:extLst>
              <c:ext xmlns:c16="http://schemas.microsoft.com/office/drawing/2014/chart" uri="{C3380CC4-5D6E-409C-BE32-E72D297353CC}">
                <c16:uniqueId val="{00000006-FAC8-4A32-9209-64D32EEFAA75}"/>
              </c:ext>
            </c:extLst>
          </c:dPt>
          <c:dPt>
            <c:idx val="1"/>
            <c:invertIfNegative val="0"/>
            <c:bubble3D val="0"/>
            <c:spPr>
              <a:solidFill>
                <a:srgbClr val="10B981"/>
              </a:solidFill>
              <a:ln>
                <a:noFill/>
              </a:ln>
              <a:effectLst/>
            </c:spPr>
            <c:extLst>
              <c:ext xmlns:c16="http://schemas.microsoft.com/office/drawing/2014/chart" uri="{C3380CC4-5D6E-409C-BE32-E72D297353CC}">
                <c16:uniqueId val="{00000005-FAC8-4A32-9209-64D32EEFAA75}"/>
              </c:ext>
            </c:extLst>
          </c:dPt>
          <c:dPt>
            <c:idx val="2"/>
            <c:invertIfNegative val="0"/>
            <c:bubble3D val="0"/>
            <c:spPr>
              <a:solidFill>
                <a:srgbClr val="0033A0"/>
              </a:solidFill>
              <a:ln>
                <a:noFill/>
              </a:ln>
              <a:effectLst/>
            </c:spPr>
            <c:extLst>
              <c:ext xmlns:c16="http://schemas.microsoft.com/office/drawing/2014/chart" uri="{C3380CC4-5D6E-409C-BE32-E72D297353CC}">
                <c16:uniqueId val="{00000004-FAC8-4A32-9209-64D32EEFAA7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Графики!$A$45:$A$47</c:f>
              <c:strCache>
                <c:ptCount val="3"/>
                <c:pt idx="0">
                  <c:v>Пессимистичный 22%</c:v>
                </c:pt>
                <c:pt idx="1">
                  <c:v>Базовый 19%</c:v>
                </c:pt>
                <c:pt idx="2">
                  <c:v>Оптимистичный 15%</c:v>
                </c:pt>
              </c:strCache>
            </c:strRef>
          </c:cat>
          <c:val>
            <c:numRef>
              <c:f>Графики!$D$45:$D$47</c:f>
              <c:numCache>
                <c:formatCode>\$#\ ##0</c:formatCode>
                <c:ptCount val="3"/>
                <c:pt idx="0">
                  <c:v>2363745</c:v>
                </c:pt>
                <c:pt idx="1">
                  <c:v>13198468.739984231</c:v>
                </c:pt>
                <c:pt idx="2">
                  <c:v>31676997</c:v>
                </c:pt>
              </c:numCache>
            </c:numRef>
          </c:val>
          <c:extLst>
            <c:ext xmlns:c16="http://schemas.microsoft.com/office/drawing/2014/chart" uri="{C3380CC4-5D6E-409C-BE32-E72D297353CC}">
              <c16:uniqueId val="{00000000-FAC8-4A32-9209-64D32EEFAA75}"/>
            </c:ext>
          </c:extLst>
        </c:ser>
        <c:dLbls>
          <c:dLblPos val="outEnd"/>
          <c:showLegendKey val="0"/>
          <c:showVal val="1"/>
          <c:showCatName val="0"/>
          <c:showSerName val="0"/>
          <c:showPercent val="0"/>
          <c:showBubbleSize val="0"/>
        </c:dLbls>
        <c:gapWidth val="219"/>
        <c:overlap val="-27"/>
        <c:axId val="1109548719"/>
        <c:axId val="1109545391"/>
      </c:barChart>
      <c:catAx>
        <c:axId val="110954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ru-RU"/>
          </a:p>
        </c:txPr>
        <c:crossAx val="1109545391"/>
        <c:crosses val="autoZero"/>
        <c:auto val="1"/>
        <c:lblAlgn val="ctr"/>
        <c:lblOffset val="100"/>
        <c:noMultiLvlLbl val="0"/>
      </c:catAx>
      <c:valAx>
        <c:axId val="11095453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NVP (USD)</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ru-RU"/>
            </a:p>
          </c:txPr>
        </c:title>
        <c:numFmt formatCode="\$#\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ru-RU"/>
          </a:p>
        </c:txPr>
        <c:crossAx val="11095487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Графики!$B$2</c:f>
              <c:strCache>
                <c:ptCount val="1"/>
                <c:pt idx="0">
                  <c:v>Нарастающий NPV</c:v>
                </c:pt>
              </c:strCache>
            </c:strRef>
          </c:tx>
          <c:spPr>
            <a:solidFill>
              <a:srgbClr val="0033A0">
                <a:alpha val="34000"/>
              </a:srgbClr>
            </a:solidFill>
            <a:ln w="34925">
              <a:solidFill>
                <a:srgbClr val="0033A0"/>
              </a:solid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Графики!$A$3:$A$8</c:f>
              <c:numCache>
                <c:formatCode>General</c:formatCode>
                <c:ptCount val="6"/>
                <c:pt idx="0">
                  <c:v>2025</c:v>
                </c:pt>
                <c:pt idx="1">
                  <c:v>2026</c:v>
                </c:pt>
                <c:pt idx="2">
                  <c:v>2027</c:v>
                </c:pt>
                <c:pt idx="3">
                  <c:v>2028</c:v>
                </c:pt>
                <c:pt idx="4">
                  <c:v>2029</c:v>
                </c:pt>
                <c:pt idx="5">
                  <c:v>2030</c:v>
                </c:pt>
              </c:numCache>
            </c:numRef>
          </c:cat>
          <c:val>
            <c:numRef>
              <c:f>Графики!$B$3:$B$8</c:f>
              <c:numCache>
                <c:formatCode>\$#\ ##0</c:formatCode>
                <c:ptCount val="6"/>
                <c:pt idx="0">
                  <c:v>-8780169.4700897932</c:v>
                </c:pt>
                <c:pt idx="1">
                  <c:v>-7617221.6450202186</c:v>
                </c:pt>
                <c:pt idx="2">
                  <c:v>-3976572.4775122297</c:v>
                </c:pt>
                <c:pt idx="3">
                  <c:v>1533984.4947478394</c:v>
                </c:pt>
                <c:pt idx="4">
                  <c:v>7387052.9230636414</c:v>
                </c:pt>
                <c:pt idx="5">
                  <c:v>13198468.739984231</c:v>
                </c:pt>
              </c:numCache>
            </c:numRef>
          </c:val>
          <c:extLst>
            <c:ext xmlns:c16="http://schemas.microsoft.com/office/drawing/2014/chart" uri="{C3380CC4-5D6E-409C-BE32-E72D297353CC}">
              <c16:uniqueId val="{00000000-862B-45DD-8C6E-922DE8519618}"/>
            </c:ext>
          </c:extLst>
        </c:ser>
        <c:dLbls>
          <c:showLegendKey val="0"/>
          <c:showVal val="1"/>
          <c:showCatName val="0"/>
          <c:showSerName val="0"/>
          <c:showPercent val="0"/>
          <c:showBubbleSize val="0"/>
        </c:dLbls>
        <c:axId val="1827107391"/>
        <c:axId val="1827114879"/>
      </c:areaChart>
      <c:catAx>
        <c:axId val="18271073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ru-RU"/>
                  <a:t>Год</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827114879"/>
        <c:crosses val="autoZero"/>
        <c:auto val="1"/>
        <c:lblAlgn val="ctr"/>
        <c:lblOffset val="100"/>
        <c:noMultiLvlLbl val="0"/>
      </c:catAx>
      <c:valAx>
        <c:axId val="18271148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NVP ($)</a:t>
                </a:r>
                <a:endParaRPr lang="ru-RU" sz="1000" b="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827107391"/>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 Дополнительная выручка </a:t>
            </a:r>
            <a:r>
              <a:rPr lang="en-US"/>
              <a:t>vs </a:t>
            </a:r>
            <a:r>
              <a:rPr lang="ru-RU"/>
              <a:t>Затраты</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col"/>
        <c:grouping val="clustered"/>
        <c:varyColors val="0"/>
        <c:ser>
          <c:idx val="0"/>
          <c:order val="0"/>
          <c:tx>
            <c:strRef>
              <c:f>Графики!$B$23</c:f>
              <c:strCache>
                <c:ptCount val="1"/>
                <c:pt idx="0">
                  <c:v>Доп. выручка</c:v>
                </c:pt>
              </c:strCache>
            </c:strRef>
          </c:tx>
          <c:spPr>
            <a:solidFill>
              <a:srgbClr val="0033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numRef>
              <c:f>Графики!$A$24:$A$28</c:f>
              <c:numCache>
                <c:formatCode>General</c:formatCode>
                <c:ptCount val="5"/>
                <c:pt idx="0">
                  <c:v>2026</c:v>
                </c:pt>
                <c:pt idx="1">
                  <c:v>2027</c:v>
                </c:pt>
                <c:pt idx="2">
                  <c:v>2028</c:v>
                </c:pt>
                <c:pt idx="3">
                  <c:v>2029</c:v>
                </c:pt>
                <c:pt idx="4">
                  <c:v>2030</c:v>
                </c:pt>
              </c:numCache>
            </c:numRef>
          </c:cat>
          <c:val>
            <c:numRef>
              <c:f>Графики!$B$24:$B$28</c:f>
              <c:numCache>
                <c:formatCode>\$#\ ##0</c:formatCode>
                <c:ptCount val="5"/>
                <c:pt idx="0">
                  <c:v>21244557.649999999</c:v>
                </c:pt>
                <c:pt idx="1">
                  <c:v>30579288.728799999</c:v>
                </c:pt>
                <c:pt idx="2">
                  <c:v>38177045.596623257</c:v>
                </c:pt>
                <c:pt idx="3">
                  <c:v>43869576.798815481</c:v>
                </c:pt>
                <c:pt idx="4">
                  <c:v>47478685.05155132</c:v>
                </c:pt>
              </c:numCache>
            </c:numRef>
          </c:val>
          <c:extLst>
            <c:ext xmlns:c16="http://schemas.microsoft.com/office/drawing/2014/chart" uri="{C3380CC4-5D6E-409C-BE32-E72D297353CC}">
              <c16:uniqueId val="{00000000-E6F8-409C-8EB8-198601DB14C8}"/>
            </c:ext>
          </c:extLst>
        </c:ser>
        <c:ser>
          <c:idx val="1"/>
          <c:order val="1"/>
          <c:tx>
            <c:strRef>
              <c:f>Графики!$C$23</c:f>
              <c:strCache>
                <c:ptCount val="1"/>
                <c:pt idx="0">
                  <c:v>Затраты</c:v>
                </c:pt>
              </c:strCache>
            </c:strRef>
          </c:tx>
          <c:spPr>
            <a:solidFill>
              <a:srgbClr val="E4002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dispRSqr val="0"/>
            <c:dispEq val="0"/>
          </c:trendline>
          <c:cat>
            <c:numRef>
              <c:f>Графики!$A$24:$A$28</c:f>
              <c:numCache>
                <c:formatCode>General</c:formatCode>
                <c:ptCount val="5"/>
                <c:pt idx="0">
                  <c:v>2026</c:v>
                </c:pt>
                <c:pt idx="1">
                  <c:v>2027</c:v>
                </c:pt>
                <c:pt idx="2">
                  <c:v>2028</c:v>
                </c:pt>
                <c:pt idx="3">
                  <c:v>2029</c:v>
                </c:pt>
                <c:pt idx="4">
                  <c:v>2030</c:v>
                </c:pt>
              </c:numCache>
            </c:numRef>
          </c:cat>
          <c:val>
            <c:numRef>
              <c:f>Графики!$C$24:$C$28</c:f>
              <c:numCache>
                <c:formatCode>\$#\ ##0</c:formatCode>
                <c:ptCount val="5"/>
                <c:pt idx="0">
                  <c:v>8780169.4700897932</c:v>
                </c:pt>
                <c:pt idx="1">
                  <c:v>8438699.8861768059</c:v>
                </c:pt>
                <c:pt idx="2">
                  <c:v>6769293.031491084</c:v>
                </c:pt>
                <c:pt idx="3">
                  <c:v>6389882.3826988749</c:v>
                </c:pt>
                <c:pt idx="4">
                  <c:v>5403414.6958391294</c:v>
                </c:pt>
              </c:numCache>
            </c:numRef>
          </c:val>
          <c:extLst>
            <c:ext xmlns:c16="http://schemas.microsoft.com/office/drawing/2014/chart" uri="{C3380CC4-5D6E-409C-BE32-E72D297353CC}">
              <c16:uniqueId val="{00000001-E6F8-409C-8EB8-198601DB14C8}"/>
            </c:ext>
          </c:extLst>
        </c:ser>
        <c:dLbls>
          <c:showLegendKey val="0"/>
          <c:showVal val="0"/>
          <c:showCatName val="0"/>
          <c:showSerName val="0"/>
          <c:showPercent val="0"/>
          <c:showBubbleSize val="0"/>
        </c:dLbls>
        <c:gapWidth val="219"/>
        <c:overlap val="-27"/>
        <c:axId val="1991330655"/>
        <c:axId val="1991321919"/>
      </c:barChart>
      <c:catAx>
        <c:axId val="199133065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991321919"/>
        <c:crosses val="autoZero"/>
        <c:auto val="1"/>
        <c:lblAlgn val="ctr"/>
        <c:lblOffset val="100"/>
        <c:noMultiLvlLbl val="0"/>
      </c:catAx>
      <c:valAx>
        <c:axId val="19913219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ru-RU" sz="1000" b="0" i="0" baseline="0">
                    <a:effectLst/>
                  </a:rPr>
                  <a:t>Сумма, </a:t>
                </a:r>
                <a:r>
                  <a:rPr lang="en-US" sz="1000" b="0" i="0" baseline="0">
                    <a:effectLst/>
                  </a:rPr>
                  <a:t>$</a:t>
                </a:r>
                <a:endParaRPr lang="ru-RU" sz="1000" b="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991330655"/>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243840</xdr:colOff>
      <xdr:row>41</xdr:row>
      <xdr:rowOff>7620</xdr:rowOff>
    </xdr:to>
    <xdr:sp macro="" textlink="">
      <xdr:nvSpPr>
        <xdr:cNvPr id="1038" name="Text Box 14" hidden="1">
          <a:extLst>
            <a:ext uri="{FF2B5EF4-FFF2-40B4-BE49-F238E27FC236}">
              <a16:creationId xmlns:a16="http://schemas.microsoft.com/office/drawing/2014/main" id="{C7298A8B-0A2E-4FD5-9507-6A70E8CB03EF}"/>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10885</xdr:colOff>
      <xdr:row>29</xdr:row>
      <xdr:rowOff>65314</xdr:rowOff>
    </xdr:from>
    <xdr:to>
      <xdr:col>18</xdr:col>
      <xdr:colOff>533399</xdr:colOff>
      <xdr:row>49</xdr:row>
      <xdr:rowOff>32657</xdr:rowOff>
    </xdr:to>
    <xdr:graphicFrame macro="">
      <xdr:nvGraphicFramePr>
        <xdr:cNvPr id="3" name="Диаграмма 2">
          <a:extLst>
            <a:ext uri="{FF2B5EF4-FFF2-40B4-BE49-F238E27FC236}">
              <a16:creationId xmlns:a16="http://schemas.microsoft.com/office/drawing/2014/main" id="{92D73059-1B51-491F-AE34-9707ED42CA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967740</xdr:colOff>
      <xdr:row>52</xdr:row>
      <xdr:rowOff>0</xdr:rowOff>
    </xdr:to>
    <xdr:sp macro="" textlink="">
      <xdr:nvSpPr>
        <xdr:cNvPr id="3075" name="Text Box 3" hidden="1">
          <a:extLst>
            <a:ext uri="{FF2B5EF4-FFF2-40B4-BE49-F238E27FC236}">
              <a16:creationId xmlns:a16="http://schemas.microsoft.com/office/drawing/2014/main" id="{FC61B3EE-BE61-475F-B111-EDE4BA06F28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765809</xdr:colOff>
      <xdr:row>3</xdr:row>
      <xdr:rowOff>71301</xdr:rowOff>
    </xdr:from>
    <xdr:to>
      <xdr:col>12</xdr:col>
      <xdr:colOff>809353</xdr:colOff>
      <xdr:row>18</xdr:row>
      <xdr:rowOff>25582</xdr:rowOff>
    </xdr:to>
    <xdr:graphicFrame macro="">
      <xdr:nvGraphicFramePr>
        <xdr:cNvPr id="6" name="Диаграмма 5">
          <a:extLst>
            <a:ext uri="{FF2B5EF4-FFF2-40B4-BE49-F238E27FC236}">
              <a16:creationId xmlns:a16="http://schemas.microsoft.com/office/drawing/2014/main" id="{361CBD46-DA23-4A18-B59C-FBACC65FC1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159774</xdr:colOff>
      <xdr:row>41</xdr:row>
      <xdr:rowOff>103239</xdr:rowOff>
    </xdr:from>
    <xdr:to>
      <xdr:col>11</xdr:col>
      <xdr:colOff>301112</xdr:colOff>
      <xdr:row>54</xdr:row>
      <xdr:rowOff>122903</xdr:rowOff>
    </xdr:to>
    <xdr:graphicFrame macro="">
      <xdr:nvGraphicFramePr>
        <xdr:cNvPr id="6" name="Диаграмма 5">
          <a:extLst>
            <a:ext uri="{FF2B5EF4-FFF2-40B4-BE49-F238E27FC236}">
              <a16:creationId xmlns:a16="http://schemas.microsoft.com/office/drawing/2014/main" id="{5CFF5931-85E2-4625-AD79-4630FAF9AB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350275</xdr:colOff>
      <xdr:row>1</xdr:row>
      <xdr:rowOff>103239</xdr:rowOff>
    </xdr:from>
    <xdr:to>
      <xdr:col>9</xdr:col>
      <xdr:colOff>940210</xdr:colOff>
      <xdr:row>16</xdr:row>
      <xdr:rowOff>81117</xdr:rowOff>
    </xdr:to>
    <xdr:graphicFrame macro="">
      <xdr:nvGraphicFramePr>
        <xdr:cNvPr id="5" name="Диаграмма 4">
          <a:extLst>
            <a:ext uri="{FF2B5EF4-FFF2-40B4-BE49-F238E27FC236}">
              <a16:creationId xmlns:a16="http://schemas.microsoft.com/office/drawing/2014/main" id="{C77F64A2-2823-4A83-8BF8-9C1ED6FEFB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866468</xdr:colOff>
      <xdr:row>21</xdr:row>
      <xdr:rowOff>176980</xdr:rowOff>
    </xdr:from>
    <xdr:to>
      <xdr:col>10</xdr:col>
      <xdr:colOff>823451</xdr:colOff>
      <xdr:row>37</xdr:row>
      <xdr:rowOff>73741</xdr:rowOff>
    </xdr:to>
    <xdr:graphicFrame macro="">
      <xdr:nvGraphicFramePr>
        <xdr:cNvPr id="10" name="Диаграмма 9">
          <a:extLst>
            <a:ext uri="{FF2B5EF4-FFF2-40B4-BE49-F238E27FC236}">
              <a16:creationId xmlns:a16="http://schemas.microsoft.com/office/drawing/2014/main" id="{E840DBE6-F6BE-4730-800F-8B232B1A6E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xltc:personList xmlns:xltc="http://schemas.microsoft.com/office/spreadsheetml/2018/threadedcomments">
  <xltc:person displayName="OpenAI" id="{FFD5C028-3356-3E93-CCCF-B64EC5BA4CEA}"/>
  <xltc:person displayName="OpenAI" id="{F38CAD76-783B-8920-AF17-2EF9B97D77BF}"/>
</xl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17" Type="http://schemas.openxmlformats.org/officeDocument/2006/relationships/hyperlink" Target="https://master-om.com/blog/kak-vybrat-shampun-dlya-volos-strategiya-ukhoda/" TargetMode="External"/><Relationship Id="rId21" Type="http://schemas.openxmlformats.org/officeDocument/2006/relationships/hyperlink" Target="https://wordstat.yandex.ru/?region=all&amp;view=table&amp;words=%D1%88%D0%B0%D0%BC%D0%BF%D1%83%D0%BD%D1%8C%20%D0%BF%D1%80%D0%BE%D1%82%D0%B8%D0%B2%20%D0%BF%D0%B5%D1%80%D1%85%D0%BE%D1%82%D0%B8" TargetMode="External"/><Relationship Id="rId42" Type="http://schemas.openxmlformats.org/officeDocument/2006/relationships/hyperlink" Target="https://yabs.yandex.ru/count/WmGejI_zOoVX2Lco0hKN0FFjhhxMBZs54p1xmmJqff8ZQ4KGy2uHq55iGL3kD84-dykTFTllt7d3dQ_VyNh37MxKjfqbga90IqaXaeo2aApLEkfqEfsvqxwdkOedY2Ma4TQXeoDgTSX8HWWdVaUV9Qf2FzSGUOpRIgC7bw36YnOkSWk0QaYhEGJGPucg49BL10dxTaA1RDokIe6gGL2fbHf4fOP0LEDgH9KcsKeaP90WCWeQSNIrSKH3QmTCsMHHnqF1o8BIHt0p3R2100mwZdVFjny5DA4B2DEI1N0v44yLeEL0B5M0bWDnL05Q3iGx2j1o8CuMeEL0hAC0BGTYg0AqCRoqShuc32CXQQMZm9mklGGSzVSXx3zuwIz2j7HHFcIz1oxCbak4R01n2x-ckYuS863T05yMFJvrRZzh6KCqxEZJ2RLlgUryub5eVakXUNrFRNlwjAFIwVDvIwNs2XoiJpAs66HnKWYOxyQRewH61rp8pkSR9XklvqxPx3uGS0CuW0rS_8YMhHGhi18VOLeDEmPT06y9fpi1kFHKJLacJIeHh4OSe-zwZKuJIKpxCWJB62CDbwRPHg6XPCiKyPMemGEst5LrW400NprOhHQCGMUQz57kQxnW3e3mJb5mpj7FpyBMHAEA6KFb3ZWBEsYo2kMRAs0AvWIYP2bigI2Jn92REXRCfCKwnOZf69s6CLyWrFATEXB17G2T30PaNLo_fjxoplz62ZoSVjY0A90VtFoY_I_pgkjxcLTTd_kpKd-tAOlxMWnTkP_5q9LZcd_U4sRvvprXZdTTrtNQJ7yraUBL178bYzwRGAvaqLiVfSU5pj9rlkpzfigcFFa7-Ti2-Z7jmGa0OK8bwRyuNPwR5ul5vEXtl2z96rZ7Ne6zzazcxLJgVDPxtNl9MLAoHeHaquvePgvKAfL2Qp2As34wXYMRyeSHAS1BaHLcPn7y4ujNygctbCQBPB6tWX6L1LxogfmcdmbOT0eFFaO5SXbhSBQfS4QjWe9_UrBSwAAX4rPcd98M~2?etext=2202.U2Y9sRWod5Im4pK4Ue_dyHtxsB0SXtTNFjxh2dUnDY14hfd8AVWlP9DGB5gGlMD0cHpoc3dxbHBtdmxnbHBvcQ.ffcb415baf80421c83d33fbd432c154402dd5b9e&amp;from=yandex.ru%3Bsearch%26%23x2F%3B%3Bweb%3B%3B0%3B&amp;q=%D1%88%D0%B0%D0%BC%D0%BF%D1%83%D0%BD%D1%8C+%D0%BE%D1%82+%D0%BF%D0%B5%D1%80%D1%85%D0%BE%D1%82%D0%B8&amp;baobab_event_id=mmlzede6tn" TargetMode="External"/><Relationship Id="rId63" Type="http://schemas.openxmlformats.org/officeDocument/2006/relationships/hyperlink" Target="https://www.proficosmetics.ru/catalog/dlya-volos/kondicionery/?ysclid=mmm201nfby336589352" TargetMode="External"/><Relationship Id="rId84" Type="http://schemas.openxmlformats.org/officeDocument/2006/relationships/hyperlink" Target="https://yabs.yandex.ru/count/WmGejI_zOoVX2Lco0hKN0FFjhhxMBZs54p1xmmJqff8ZQ4KGy2uHq55iGL3kD84-dykTFTllt7d3dQ_VyNh37MxKjfqbga90IqaXaeo2aApLEkfqEfsvqxwdkOedY2Ma4TQXeoDgTSX8HWWdVaUV9Qf2FzSGUOpRIgC7bw36YnOkSWk0QaYhEGJGPucg49BL10dxTaA1RDokIe6gGL2fbHf4fOP0LEDgH9KcsKeaP90WCWeQSNIrSKH3QmTCsMHHnqF1o8BIHt0p3R2100mwZdVFjny5DA4B2DEI1N0v44yLeEL0B5M0bWDnL05Q3iGx2j1o8CuMeEL0hAC0BGTYg0AqCRoqShuc32CXQQMZm9mklGGSzVSXx3zuwIz2j7HHFcIz1oxCbak4R01n2x-ckYuS863T05yMFJvrRZzh6KCqxEZJ2RLlgUryub5eVakXUNrFRNlwjAFIwVDvIwNs2XoiJpAs66HnKWYOxyQRewH61rp8pkSR9XklvqxPx3uGS0CuW0rS_8YMhHGhi18VOLeDEmPT06y9fpi1kFHKJLacJIeHh4OSe-zwZKuJIKpxCWJB62CDbwRPHg6XPCiKyPMemGEst5LrW400NprOhHQCGMUQz57kQxnW3e3mJb5mpj7FpyBMHAEA6KFb3ZWBEsYo2kMRAs0AvWIYP2bigI2Jn92REXRCfCKwnOZf69s6CLyWrFATEXB17G2T30PaNLo_fjxoplz62ZoSVjY0A90VtFoY_I_pgkjxcLTTd_kpKd-tAOlxMWnTkP_5q9LZcd_U4sRvvprXZdTTrtNQJ7yraUBL178bYzwRGAvaqLiVfSU5pj9rlkpzfigcFFa7-Ti2-Z7jmGa0OK8bwRyuNPwR5ul5vEXtl2z96rZ7Ne6zzazcxLJgVDPxtNl9MLAoHeHaquvePgvKAfL2Qp2As34wXYMRyeSHAS1BaHLcPn7y4ujNygctbCQBPB6tWX6L1LxogfmcdmbOT0eFFaO5SXbhSBQfS4QjWe9_UrBSwAAX4rPcd98M~2?etext=2202.U2Y9sRWod5Im4pK4Ue_dyHtxsB0SXtTNFjxh2dUnDY14hfd8AVWlP9DGB5gGlMD0cHpoc3dxbHBtdmxnbHBvcQ.ffcb415baf80421c83d33fbd432c154402dd5b9e&amp;from=yandex.ru%3Bsearch%26%23x2F%3B%3Bweb%3B%3B0%3B&amp;q=%D1%88%D0%B0%D0%BC%D0%BF%D1%83%D0%BD%D1%8C+%D0%BE%D1%82+%D0%BF%D0%B5%D1%80%D1%85%D0%BE%D1%82%D0%B8&amp;baobab_event_id=mmlzede6tn" TargetMode="External"/><Relationship Id="rId138" Type="http://schemas.openxmlformats.org/officeDocument/2006/relationships/hyperlink" Target="https://yabs.yandex.ru/count/WpiejI_zOoVX2Lb90sqP0ECkixxMCW_Hz0JCtZ01lQda2BWA0juB2EZGvtEvisVxdJlVzRNpzJjURxZ3lPzEQ6vFeqveZaUTKXjwIssU6oHiwz4D9Hwb819LAeaSAdNQF4XALYGIDa-IqH699ACZ4aP5F4TK4jOYeoAU91BE9yyH2G1OYQX5FqTBHaWoIE09WOJKVjvIQFwKGdbaa80-eTCe5CUZKfk7Ic89wIV9oEY8Y3eZwUU6qXBL2lI3P5GjijRu2JeA-g5nPFq1il53HBKgKM_ytE0f8Z6ryoW-bJgbF44_GaLBHqJK6KaaXgnAILOIITKYAXBG21isR0ZkW2cRBEgKS824gbGEq40Gg0zC33gEEant6mAP2cX25n2c2_0cK02N0_5K0LeEn585Q3aGHnMWvK2yem0j1-9i0LeEn3eAq78WXYf06yDBA-Thuap5na41369okhIVhWKobzRKeHfH_1brFg7IfoszdSvdr7xQTfrBexWpVzxFv_syfL9x1GxMDw4ovuNiCCaK83VUHYL21X0AEfzlc6oydZjbi_j0m0tW03PmlLONoHKfLc0bFiAq6dOCkW3U4avt0d3fgPgoTzoA2giHEy2awtgDJXD9JFio1CiO8msNfjb6eQ5aonJnbQZ10xRSLNM0G01V3kXQBpW0mZj5mJb7FpyBMnDLH33rEC0dMjX1arKetrm1Kp0tUUnHs3PrB1sZqp3chyDyBnWwy2LmX04Q281E1WEoBgvVKszvvt_Zp6FY3qS7vpxO9ixhVo_mwFlU2ppwFZS34VtlrQh1hrt03Uzd5t33OvgNP2_CyfBiXJdUTLtNQNFJocl7u0IoHdgVGDP8RtsK7XSwI__vyW_JwmGz-OTT2O7oOzg34t2o7RppNzyabqMbwBUqhZCroMLHANhjdnpIrFVbizxh_cehfPoN9uPoTaGpSwLIgHHQ0q78Zj4nC2DG_fyNF4yyGENA7lpls8D9ot_MZxL2eGSHm8NBX8LhW0qfwzxAkMl9rRqJOFZpnQR8DI8-LxLayPK0ylu2m_qf32DyaNyt3-eKdKjcyfWdP66BLS5zBc81HTq4rmwPjTwYEIsit5FYFG00~2?etext=2202.2vBCcGGJAJM5tnu5zO37XoU6uJOJNwyCPKCsnO3kIg71huu7JcVskNp3k8QjEJJD_kXwhi8-oYTzyRYNoK1Pb2lwdWVma3l5cHl1ZGdoZWY.1fbf81fb3be7bb640dd20038fd7ac2d38dfce2ea&amp;from=yandex.ru%3Bsearch%26%23x2F%3B%3Bweb%3B%3B0%3B&amp;q=%D1%88%D0%B0%D0%BC%D0%BF%D1%83%D0%BD%D1%8C+%D0%B4%D0%BB%D1%8F+%D0%B6%D0%B8%D1%80%D0%BD%D1%8B%D1%85+%D0%B2%D0%BE%D0%BB%D0%BE%D1%81" TargetMode="External"/><Relationship Id="rId159" Type="http://schemas.openxmlformats.org/officeDocument/2006/relationships/hyperlink" Target="https://www.detmir.ru/catalog/index/name/sortforbrand/brand/19286/" TargetMode="External"/><Relationship Id="rId170" Type="http://schemas.openxmlformats.org/officeDocument/2006/relationships/hyperlink" Target="https://www.detmir.ru/catalog/index/name/sortforbrand/brand/19286/" TargetMode="External"/><Relationship Id="rId107" Type="http://schemas.openxmlformats.org/officeDocument/2006/relationships/hyperlink" Target="https://www.proficosmetics.ru/catalog/dlya-volos/shampuni/perkhot/top10/" TargetMode="External"/><Relationship Id="rId11" Type="http://schemas.openxmlformats.org/officeDocument/2006/relationships/hyperlink" Target="http://megapteka.ru/" TargetMode="External"/><Relationship Id="rId32" Type="http://schemas.openxmlformats.org/officeDocument/2006/relationships/hyperlink" Target="https://stolichki.ru/clubs/beauty/healthy_hair/luchshie-shampuni-ot-perkhoti" TargetMode="External"/><Relationship Id="rId53" Type="http://schemas.openxmlformats.org/officeDocument/2006/relationships/hyperlink" Target="https://yabs.yandex.ru/count/WmGejI_zOoVX2Lco0hKN0FFjhhxMBZs54p1xmmJqff8ZQ4KGy2uHq55iGL3kD84-dykTFTllt7d3dQ_VyNh37MxKjfqbga90IqaXaeo2aApLEkfqEfsvqxwdkOedY2Ma4TQXeoDgTSX8HWWdVaUV9Qf2FzSGUOpRIgC7bw36YnOkSWk0QaYhEGJGPucg49BL10dxTaA1RDokIe6gGL2fbHf4fOP0LEDgH9KcsKeaP90WCWeQSNIrSKH3QmTCsMHHnqF1o8BIHt0p3R2100mwZdVFjny5DA4B2DEI1N0v44yLeEL0B5M0bWDnL05Q3iGx2j1o8CuMeEL0hAC0BGTYg0AqCRoqShuc32CXQQMZm9mklGGSzVSXx3zuwIz2j7HHFcIz1oxCbak4R01n2x-ckYuS863T05yMFJvrRZzh6KCqxEZJ2RLlgUryub5eVakXUNrFRNlwjAFIwVDvIwNs2XoiJpAs66HnKWYOxyQRewH61rp8pkSR9XklvqxPx3uGS0CuW0rS_8YMhHGhi18VOLeDEmPT06y9fpi1kFHKJLacJIeHh4OSe-zwZKuJIKpxCWJB62CDbwRPHg6XPCiKyPMemGEst5LrW400NprOhHQCGMUQz57kQxnW3e3mJb5mpj7FpyBMHAEA6KFb3ZWBEsYo2kMRAs0AvWIYP2bigI2Jn92REXRCfCKwnOZf69s6CLyWrFATEXB17G2T30PaNLo_fjxoplz62ZoSVjY0A90VtFoY_I_pgkjxcLTTd_kpKd-tAOlxMWnTkP_5q9LZcd_U4sRvvprXZdTTrtNQJ7yraUBL178bYzwRGAvaqLiVfSU5pj9rlkpzfigcFFa7-Ti2-Z7jmGa0OK8bwRyuNPwR5ul5vEXtl2z96rZ7Ne6zzazcxLJgVDPxtNl9MLAoHeHaquvePgvKAfL2Qp2As34wXYMRyeSHAS1BaHLcPn7y4ujNygctbCQBPB6tWX6L1LxogfmcdmbOT0eFFaO5SXbhSBQfS4QjWe9_UrBSwAAX4rPcd98M~2?etext=2202.U2Y9sRWod5Im4pK4Ue_dyHtxsB0SXtTNFjxh2dUnDY14hfd8AVWlP9DGB5gGlMD0cHpoc3dxbHBtdmxnbHBvcQ.ffcb415baf80421c83d33fbd432c154402dd5b9e&amp;from=yandex.ru%3Bsearch%26%23x2F%3B%3Bweb%3B%3B0%3B&amp;q=%D1%88%D0%B0%D0%BC%D0%BF%D1%83%D0%BD%D1%8C+%D0%BE%D1%82+%D0%BF%D0%B5%D1%80%D1%85%D0%BE%D1%82%D0%B8&amp;baobab_event_id=mmlzede6tn" TargetMode="External"/><Relationship Id="rId74" Type="http://schemas.openxmlformats.org/officeDocument/2006/relationships/hyperlink" Target="https://headandshoulders.com/" TargetMode="External"/><Relationship Id="rId128" Type="http://schemas.openxmlformats.org/officeDocument/2006/relationships/hyperlink" Target="https://apteka.ru/product/mirrolla-shampun-ot-perxoti-s-ketokonazolom-150-ml-5e3265d8ca7bdc000192b713/" TargetMode="External"/><Relationship Id="rId149" Type="http://schemas.openxmlformats.org/officeDocument/2006/relationships/hyperlink" Target="https://uteka.ru/catalog/podguzniki-i-pelenki-detskie/podguzniki-odnorazovye-detskie/" TargetMode="External"/><Relationship Id="rId5" Type="http://schemas.openxmlformats.org/officeDocument/2006/relationships/hyperlink" Target="http://wikipedia.org/" TargetMode="External"/><Relationship Id="rId95" Type="http://schemas.openxmlformats.org/officeDocument/2006/relationships/hyperlink" Target="http://ozon.ru/" TargetMode="External"/><Relationship Id="rId160" Type="http://schemas.openxmlformats.org/officeDocument/2006/relationships/hyperlink" Target="https://www.pampers.com/" TargetMode="External"/><Relationship Id="rId22" Type="http://schemas.openxmlformats.org/officeDocument/2006/relationships/hyperlink" Target="https://yabs.yandex.ru/count/WmGejI_zOoVX2Lco0hKN0FFjhhxMBZs54p1xmmJqff8ZQ4KGy2uHq55iGL3kD84-dykTFTllt7d3dQ_VyNh37MxKjfqbga90IqaXaeo2aApLEkfqEfsvqxwdkOedY2Ma4TQXeoDgTSX8HWWdVaUV9Qf2FzSGUOpRIgC7bw36YnOkSWk0QaYhEGJGPucg49BL10dxTaA1RDokIe6gGL2fbHf4fOP0LEDgH9KcsKeaP90WCWeQSNIrSKH3QmTCsMHHnqF1o8BIHt0p3R2100mwZdVFjny5DA4B2DEI1N0v44yLeEL0B5M0bWDnL05Q3iGx2j1o8CuMeEL0hAC0BGTYg0AqCRoqShuc32CXQQMZm9mklGGSzVSXx3zuwIz2j7HHFcIz1oxCbak4R01n2x-ckYuS863T05yMFJvrRZzh6KCqxEZJ2RLlgUryub5eVakXUNrFRNlwjAFIwVDvIwNs2XoiJpAs66HnKWYOxyQRewH61rp8pkSR9XklvqxPx3uGS0CuW0rS_8YMhHGhi18VOLeDEmPT06y9fpi1kFHKJLacJIeHh4OSe-zwZKuJIKpxCWJB62CDbwRPHg6XPCiKyPMemGEst5LrW400NprOhHQCGMUQz57kQxnW3e3mJb5mpj7FpyBMHAEA6KFb3ZWBEsYo2kMRAs0AvWIYP2bigI2Jn92REXRCfCKwnOZf69s6CLyWrFATEXB17G2T30PaNLo_fjxoplz62ZoSVjY0A90VtFoY_I_pgkjxcLTTd_kpKd-tAOlxMWnTkP_5q9LZcd_U4sRvvprXZdTTrtNQJ7yraUBL178bYzwRGAvaqLiVfSU5pj9rlkpzfigcFFa7-Ti2-Z7jmGa0OK8bwRyuNPwR5ul5vEXtl2z96rZ7Ne6zzazcxLJgVDPxtNl9MLAoHeHaquvePgvKAfL2Qp2As34wXYMRyeSHAS1BaHLcPn7y4ujNygctbCQBPB6tWX6L1LxogfmcdmbOT0eFFaO5SXbhSBQfS4QjWe9_UrBSwAAX4rPcd98M~2?etext=2202.U2Y9sRWod5Im4pK4Ue_dyHtxsB0SXtTNFjxh2dUnDY14hfd8AVWlP9DGB5gGlMD0cHpoc3dxbHBtdmxnbHBvcQ.ffcb415baf80421c83d33fbd432c154402dd5b9e&amp;from=yandex.ru%3Bsearch%26%23x2F%3B%3Bweb%3B%3B0%3B&amp;q=%D1%88%D0%B0%D0%BC%D0%BF%D1%83%D0%BD%D1%8C+%D0%BE%D1%82+%D0%BF%D0%B5%D1%80%D1%85%D0%BE%D1%82%D0%B8&amp;baobab_event_id=mmlzede6tn" TargetMode="External"/><Relationship Id="rId43" Type="http://schemas.openxmlformats.org/officeDocument/2006/relationships/hyperlink" Target="https://yabs.yandex.ru/count/WmGejI_zOoVX2Lco0hKN0FFjhhxMBZs54p1xmmJqff8ZQ4KGy2uHq55iGL3kD84-dykTFTllt7d3dQ_VyNh37MxKjfqbga90IqaXaeo2aApLEkfqEfsvqxwdkOedY2Ma4TQXeoDgTSX8HWWdVaUV9Qf2FzSGUOpRIgC7bw36YnOkSWk0QaYhEGJGPucg49BL10dxTaA1RDokIe6gGL2fbHf4fOP0LEDgH9KcsKeaP90WCWeQSNIrSKH3QmTCsMHHnqF1o8BIHt0p3R2100mwZdVFjny5DA4B2DEI1N0v44yLeEL0B5M0bWDnL05Q3iGx2j1o8CuMeEL0hAC0BGTYg0AqCRoqShuc32CXQQMZm9mklGGSzVSXx3zuwIz2j7HHFcIz1oxCbak4R01n2x-ckYuS863T05yMFJvrRZzh6KCqxEZJ2RLlgUryub5eVakXUNrFRNlwjAFIwVDvIwNs2XoiJpAs66HnKWYOxyQRewH61rp8pkSR9XklvqxPx3uGS0CuW0rS_8YMhHGhi18VOLeDEmPT06y9fpi1kFHKJLacJIeHh4OSe-zwZKuJIKpxCWJB62CDbwRPHg6XPCiKyPMemGEst5LrW400NprOhHQCGMUQz57kQxnW3e3mJb5mpj7FpyBMHAEA6KFb3ZWBEsYo2kMRAs0AvWIYP2bigI2Jn92REXRCfCKwnOZf69s6CLyWrFATEXB17G2T30PaNLo_fjxoplz62ZoSVjY0A90VtFoY_I_pgkjxcLTTd_kpKd-tAOlxMWnTkP_5q9LZcd_U4sRvvprXZdTTrtNQJ7yraUBL178bYzwRGAvaqLiVfSU5pj9rlkpzfigcFFa7-Ti2-Z7jmGa0OK8bwRyuNPwR5ul5vEXtl2z96rZ7Ne6zzazcxLJgVDPxtNl9MLAoHeHaquvePgvKAfL2Qp2As34wXYMRyeSHAS1BaHLcPn7y4ujNygctbCQBPB6tWX6L1LxogfmcdmbOT0eFFaO5SXbhSBQfS4QjWe9_UrBSwAAX4rPcd98M~2?etext=2202.U2Y9sRWod5Im4pK4Ue_dyHtxsB0SXtTNFjxh2dUnDY14hfd8AVWlP9DGB5gGlMD0cHpoc3dxbHBtdmxnbHBvcQ.ffcb415baf80421c83d33fbd432c154402dd5b9e&amp;from=yandex.ru%3Bsearch%26%23x2F%3B%3Bweb%3B%3B0%3B&amp;q=%D1%88%D0%B0%D0%BC%D0%BF%D1%83%D0%BD%D1%8C+%D0%BE%D1%82+%D0%BF%D0%B5%D1%80%D1%85%D0%BE%D1%82%D0%B8&amp;baobab_event_id=mmlzede6tn" TargetMode="External"/><Relationship Id="rId64" Type="http://schemas.openxmlformats.org/officeDocument/2006/relationships/hyperlink" Target="http://randewoo.ru/" TargetMode="External"/><Relationship Id="rId118" Type="http://schemas.openxmlformats.org/officeDocument/2006/relationships/hyperlink" Target="https://wordstat.yandex.ru/?region=all&amp;view=table&amp;words=%D0%BA%D0%B0%D0%BA%20%D0%B8%D0%B7%D0%B1%D0%B0%D0%B2%D0%B8%D1%82%D1%8C%D1%81%D1%8F%20%D0%BE%D1%82%20%D0%BF%D0%B5%D1%80%D1%85%D0%BE%D1%82%D0%B8" TargetMode="External"/><Relationship Id="rId139" Type="http://schemas.openxmlformats.org/officeDocument/2006/relationships/hyperlink" Target="https://yabs.yandex.ru/count/WmGejI_zOoVX2Lco0hKN0FFjhhxMBZs54p1xmmJqff8ZQ4KGy2uHq55iGL3kD84-dykTFTllt7d3dQ_VyNh37MxKjfqbga90IqaXaeo2aApLEkfqEfsvqxwdkOedY2Ma4TQXeoDgTSX8HWWdVaUV9Qf2FzSGUOpRIgC7bw36YnOkSWk0QaYhEGJGPucg49BL10dxTaA1RDokIe6gGL2fbHf4fOP0LEDgH9KcsKeaP90WCWeQSNIrSKH3QmTCsMHHnqF1o8BIHt0p3R2100mwZdVFjny5DA4B2DEI1N0v44yLeEL0B5M0bWDnL05Q3iGx2j1o8CuMeEL0hAC0BGTYg0AqCRoqShuc32CXQQMZm9mklGGSzVSXx3zuwIz2j7HHFcIz1oxCbak4R01n2x-ckYuS863T05yMFJvrRZzh6KCqxEZJ2RLlgUryub5eVakXUNrFRNlwjAFIwVDvIwNs2XoiJpAs66HnKWYOxyQRewH61rp8pkSR9XklvqxPx3uGS0CuW0rS_8YMhHGhi18VOLeDEmPT06y9fpi1kFHKJLacJIeHh4OSe-zwZKuJIKpxCWJB62CDbwRPHg6XPCiKyPMemGEst5LrW400NprOhHQCGMUQz57kQxnW3e3mJb5mpj7FpyBMHAEA6KFb3ZWBEsYo2kMRAs0AvWIYP2bigI2Jn92REXRCfCKwnOZf69s6CLyWrFATEXB17G2T30PaNLo_fjxoplz62ZoSVjY0A90VtFoY_I_pgkjxcLTTd_kpKd-tAOlxMWnTkP_5q9LZcd_U4sRvvprXZdTTrtNQJ7yraUBL178bYzwRGAvaqLiVfSU5pj9rlkpzfigcFFa7-Ti2-Z7jmGa0OK8bwRyuNPwR5ul5vEXtl2z96rZ7Ne6zzazcxLJgVDPxtNl9MLAoHeHaquvePgvKAfL2Qp2As34wXYMRyeSHAS1BaHLcPn7y4ujNygctbCQBPB6tWX6L1LxogfmcdmbOT0eFFaO5SXbhSBQfS4QjWe9_UrBSwAAX4rPcd98M~2?etext=2202.U2Y9sRWod5Im4pK4Ue_dyHtxsB0SXtTNFjxh2dUnDY14hfd8AVWlP9DGB5gGlMD0cHpoc3dxbHBtdmxnbHBvcQ.ffcb415baf80421c83d33fbd432c154402dd5b9e&amp;from=yandex.ru%3Bsearch%26%23x2F%3B%3Bweb%3B%3B0%3B&amp;q=%D1%88%D0%B0%D0%BC%D0%BF%D1%83%D0%BD%D1%8C+%D0%BE%D1%82+%D0%BF%D0%B5%D1%80%D1%85%D0%BE%D1%82%D0%B8&amp;baobab_event_id=mmlzede6tn" TargetMode="External"/><Relationship Id="rId85" Type="http://schemas.openxmlformats.org/officeDocument/2006/relationships/hyperlink" Target="https://yabs.yandex.ru/count/WmGejI_zOoVX2Lco0hKN0FFjhhxMBZs54p1xmmJqff8ZQ4KGy2uHq55iGL3kD84-dykTFTllt7d3dQ_VyNh37MxKjfqbga90IqaXaeo2aApLEkfqEfsvqxwdkOedY2Ma4TQXeoDgTSX8HWWdVaUV9Qf2FzSGUOpRIgC7bw36YnOkSWk0QaYhEGJGPucg49BL10dxTaA1RDokIe6gGL2fbHf4fOP0LEDgH9KcsKeaP90WCWeQSNIrSKH3QmTCsMHHnqF1o8BIHt0p3R2100mwZdVFjny5DA4B2DEI1N0v44yLeEL0B5M0bWDnL05Q3iGx2j1o8CuMeEL0hAC0BGTYg0AqCRoqShuc32CXQQMZm9mklGGSzVSXx3zuwIz2j7HHFcIz1oxCbak4R01n2x-ckYuS863T05yMFJvrRZzh6KCqxEZJ2RLlgUryub5eVakXUNrFRNlwjAFIwVDvIwNs2XoiJpAs66HnKWYOxyQRewH61rp8pkSR9XklvqxPx3uGS0CuW0rS_8YMhHGhi18VOLeDEmPT06y9fpi1kFHKJLacJIeHh4OSe-zwZKuJIKpxCWJB62CDbwRPHg6XPCiKyPMemGEst5LrW400NprOhHQCGMUQz57kQxnW3e3mJb5mpj7FpyBMHAEA6KFb3ZWBEsYo2kMRAs0AvWIYP2bigI2Jn92REXRCfCKwnOZf69s6CLyWrFATEXB17G2T30PaNLo_fjxoplz62ZoSVjY0A90VtFoY_I_pgkjxcLTTd_kpKd-tAOlxMWnTkP_5q9LZcd_U4sRvvprXZdTTrtNQJ7yraUBL178bYzwRGAvaqLiVfSU5pj9rlkpzfigcFFa7-Ti2-Z7jmGa0OK8bwRyuNPwR5ul5vEXtl2z96rZ7Ne6zzazcxLJgVDPxtNl9MLAoHeHaquvePgvKAfL2Qp2As34wXYMRyeSHAS1BaHLcPn7y4ujNygctbCQBPB6tWX6L1LxogfmcdmbOT0eFFaO5SXbhSBQfS4QjWe9_UrBSwAAX4rPcd98M~2?etext=2202.U2Y9sRWod5Im4pK4Ue_dyHtxsB0SXtTNFjxh2dUnDY14hfd8AVWlP9DGB5gGlMD0cHpoc3dxbHBtdmxnbHBvcQ.ffcb415baf80421c83d33fbd432c154402dd5b9e&amp;from=yandex.ru%3Bsearch%26%23x2F%3B%3Bweb%3B%3B0%3B&amp;q=%D1%88%D0%B0%D0%BC%D0%BF%D1%83%D0%BD%D1%8C+%D0%BE%D1%82+%D0%BF%D0%B5%D1%80%D1%85%D0%BE%D1%82%D0%B8&amp;baobab_event_id=mmlzede6tn" TargetMode="External"/><Relationship Id="rId150" Type="http://schemas.openxmlformats.org/officeDocument/2006/relationships/hyperlink" Target="https://uteka.ru/catalog/podguzniki-i-pelenki-detskie/podguzniki-odnorazovye-detskie/" TargetMode="External"/><Relationship Id="rId171" Type="http://schemas.openxmlformats.org/officeDocument/2006/relationships/hyperlink" Target="http://ozon.ru/" TargetMode="External"/><Relationship Id="rId12" Type="http://schemas.openxmlformats.org/officeDocument/2006/relationships/hyperlink" Target="http://top-advisorr.ru/" TargetMode="External"/><Relationship Id="rId33" Type="http://schemas.openxmlformats.org/officeDocument/2006/relationships/hyperlink" Target="https://megapteka.ru/specials/luchshie-sredstva-ot-5369" TargetMode="External"/><Relationship Id="rId108" Type="http://schemas.openxmlformats.org/officeDocument/2006/relationships/hyperlink" Target="https://www.lamoda.ru/blog/article/13-luchshih-shampunej-ot-perhoti-po-otzyvam-muzhchin/" TargetMode="External"/><Relationship Id="rId129" Type="http://schemas.openxmlformats.org/officeDocument/2006/relationships/hyperlink" Target="https://www.ozon.ru/category/lechebnyy-shampun-ot-perhoti/" TargetMode="External"/><Relationship Id="rId54" Type="http://schemas.openxmlformats.org/officeDocument/2006/relationships/hyperlink" Target="https://yabs.yandex.ru/count/WqiejI_zOoVX2Lc20-qP02Fli_v8sby2Pfy0rnice3UL744hWe3t0W8wzFbSxkpPVkVE6-vy_OxN6-vmQrYhI2Ua86wUenDI43n99wGWZ8fug2Ua89nF7Xedf22YzjCvZU9uL6hp09sGWd3UqdmApPzIA8-C4r8Gq-VjX4wbJYbFq0afYEZJ-RoTJlj7gSYQP4Kwub4AeWBPIhTzX0UL258I-Y5IMWhn_Ab1vR4IKOjEI44eKODuh4Stb4v8GLoHU8oiCdweGbKhaT1Fqf6CdweGzUW52mfAL2Em1Y4j6IMPS3gZJoY98192IaOpaAn7TGqX9IEa8n9MeHfAII5OgoIIZ8QCQjHK9EkC82EaEibQuuRO3fYooQAEXuAH1QMFu6OQO0C167GSJMIfRe1p5cDp89ugGCk1MAe0BGVYg0Aq78Xt5A3bG9mjGCk1M4S1MWx4K0LeOtXfvNnD-2b1vCwCG-HqQJ-cgJWMFJvrRZzh6KCqxEZJ2RLlgUryub5eVakXUNrFRNlwjAFIwVDvIwNs2XoiJpAs66HnKWYOxyRBmxCLQGuvds-ORBoUEsMp-q303U00Dd0_M3d29SKAhCH7c5R3Za4Nm5l2wKu0BZrLK-w10YTN8wQ99APz6O9bZ966IzDiez1GicMA-4hKu05RxgewG220hnwirWiEWF1EKN3EqS_FmjR44vkow509ty8Ecgn2-UOAc8AvoKEFmjPJq64cbBsEAZ7afewbOtGQnlnrcEy5GYtVgICHt07GoM10riNrQ-ejx_nlh93szSFE9U4FRWvc_zU3xlTwqFrS4Qxy_UPjozVIMB8_IsF9Cisqb1-pJ4lvCSVCfRUvt7TTrtNQJ7yraU95L_tHErtrHszzb1uNEklVVBc3bzoS9_-mAoYEVanxS09EkAnW-QzlaXDR5FijhUjCJN9YYsAl_PD3ddpi7T7CNAbKAeNMO1InOtGCJApoL-24jIkomkmC8Vn9sMEcm0essFjWH0OyI5WH8SlHPm2dzWXK0s8OO1x-XcMut6BVshwxuY6YOIgQYe1lRIwThmfA8PHsmBTy0ShyawnnJfZlgnjgGkSlHJmY5MFdpfQPqxOc-7ptHS8jEez3MlGhh8nP0ZG0~2?etext=2202.U2Y9sRWod5Im4pK4Ue_dyHtxsB0SXtTNFjxh2dUnDY14hfd8AVWlP9DGB5gGlMD0cHpoc3dxbHBtdmxnbHBvcQ.ffcb415baf80421c83d33fbd432c154402dd5b9e&amp;from=yandex.ru%3Bsearch%26%23x2F%3B%3Bweb%3B%3B0%3B&amp;q=%D1%88%D0%B0%D0%BC%D0%BF%D1%83%D0%BD%D1%8C+%D0%BE%D1%82+%D0%BF%D0%B5%D1%80%D1%85%D0%BE%D1%82%D0%B8" TargetMode="External"/><Relationship Id="rId70" Type="http://schemas.openxmlformats.org/officeDocument/2006/relationships/hyperlink" Target="http://podrygka.ru/" TargetMode="External"/><Relationship Id="rId75" Type="http://schemas.openxmlformats.org/officeDocument/2006/relationships/hyperlink" Target="http://ozon.ru/" TargetMode="External"/><Relationship Id="rId91" Type="http://schemas.openxmlformats.org/officeDocument/2006/relationships/hyperlink" Target="https://www.wildberries.ru/catalog/tags/pantin-shampunb-i-balbzam" TargetMode="External"/><Relationship Id="rId96" Type="http://schemas.openxmlformats.org/officeDocument/2006/relationships/hyperlink" Target="https://wordstat.yandex.ru/?region=all&amp;view=table&amp;words=%D1%88%D0%B0%D0%BC%D0%BF%D1%83%D0%BD%D1%8C%20%D0%BF%D0%B0%D0%BD%D1%82%D0%B8%D0%BD" TargetMode="External"/><Relationship Id="rId140" Type="http://schemas.openxmlformats.org/officeDocument/2006/relationships/hyperlink" Target="https://yabs.yandex.ru/count/WmyejI_zOoVX2LbI0mqO0FFhfnAO0IPWzeO9w4qbIFA08E1T8g13dy_bpfxjT-wyuSxNxtYzuGwtAeHaEvyyCuvoI9tHw7CgXTfFfpItxJlFRPwg43L73fL6epZ-Z49vga8oSZZnfzG9lMsx-bEZIgqAqVWvglx0YTt4MJyfFpcnLpmdTZv1LFd9YTl4pYU8hpXE_1NJYOc8c_o6A8rWLJ8n8mY9QarIij90eXADTy2KJHPvF-vi8AL_eF0A279j67GSJIoUnTWXgjpGOIfovjefe0bTG9YUB83BWNYg02q7Oga2j1o8emhGSY3UKO2M0t6s02q7OXq5Q3aGGnMWtU3AD-Thel39zqXd3Chf8ZKQaTJ0SSfGouyYTMa3V5dq-DHH_FcyxUSTdKAVjutRKcZq6RNhF7S-R_oUHg7HvosLsYnmi3Xug9tx18dOPRdnqXYIjwEA4KYSuis-ZHfhycevds-ORBpUpCjczqu0Du03sC0TCKQ7PcHBYOymhOOTWow0juJJdG1Ssic17Rgkr-WSb7JXOaKAoDiU3PUcsOQ8KdJXfI9EP_20BNTL7I0Gm9S5MfsxOmYRS2pwmQE2mWM4TEpcAPA2Nn8jR4reQUoWPBkZmy8Ecgn2-UOAc8AvoKEFmZO6IiU2cRIwKuoO6QFJC6OCoX1-X1310uKmNI4BJNa_MNM9JJqMpQytysfolPbNS_U_4RT2_66lXChgWpCubV-t2VdaUvkGJput1kxmxogwb7rjXo21FziXI23Jl6JYmYmlcRWq-URjkgxhj9avv77na6wRfBTUwyjUx4vhqfDzaZv7iH_J7eo0baUtAV_5mPYua7Mmsw3VSIc5YM0chn0mh_sJJ6jnUJxhlUwx94aKalO8jIDyH3DpfLAf55gJCe3DRA7yTZOwR40zm0qA7Fo9WM7WpfuSl60Idgr12RTGNbkamFbX29WczzSSV8fdGuQ2IN4BZ87S75T5rd1MX-n1OBXKlwQAuXON65yfz1qivoZ7BotKKPPzGeDVamINPbpfDdO0Tj5rgqIRYJ80~2?etext=2202.07OjtL3e8P7xMkkOy367XmLjQonxi-c4uh5TuJcPeU13Y2hjZmpvbHR2bWZwcW91.ac2c56c468a7178fc9f2db81eb4f424a04566d29&amp;from=ya.ru%3Bsearch%26%23x2F%3B%3Bweb%3B%3B0%3B&amp;q=%D0%BF%D0%BE%D0%B4%D0%B3%D1%83%D0%B7%D0%BD%D0%B8%D0%BA%D0%B8&amp;clid=1601&amp;src_pof=1601" TargetMode="External"/><Relationship Id="rId145" Type="http://schemas.openxmlformats.org/officeDocument/2006/relationships/hyperlink" Target="https://www.detmir.ru/catalog/index/name/sortforbrand/brand/19286/" TargetMode="External"/><Relationship Id="rId161" Type="http://schemas.openxmlformats.org/officeDocument/2006/relationships/hyperlink" Target="https://ru.wikipedia.org/wiki/Pampers" TargetMode="External"/><Relationship Id="rId166" Type="http://schemas.openxmlformats.org/officeDocument/2006/relationships/hyperlink" Target="http://market.yandex.ru/" TargetMode="External"/><Relationship Id="rId1" Type="http://schemas.openxmlformats.org/officeDocument/2006/relationships/hyperlink" Target="https://yabs.yandex.ru/count/WmGejI_zOoVX2Lco0hKN0FFjhhxMBZs54p1xmmJqff8ZQ4KGy2uHq55iGL3kD84-dykTFTllt7d3dQ_VyNh37MxKjfqbga90IqaXaeo2aApLEkfqEfsvqxwdkOedY2Ma4TQXeoDgTSX8HWWdVaUV9Qf2FzSGUOpRIgC7bw36YnOkSWk0QaYhEGJGPucg49BL10dxTaA1RDokIe6gGL2fbHf4fOP0LEDgH9KcsKeaP90WCWeQSNIrSKH3QmTCsMHHnqF1o8BIHt0p3R2100mwZdVFjny5DA4B2DEI1N0v44yLeEL0B5M0bWDnL05Q3iGx2j1o8CuMeEL0hAC0BGTYg0AqCRoqShuc32CXQQMZm9mklGGSzVSXx3zuwIz2j7HHFcIz1oxCbak4R01n2x-ckYuS863T05yMFJvrRZzh6KCqxEZJ2RLlgUryub5eVakXUNrFRNlwjAFIwVDvIwNs2XoiJpAs66HnKWYOxyQRewH61rp8pkSR9XklvqxPx3uGS0CuW0rS_8YMhHGhi18VOLeDEmPT06y9fpi1kFHKJLacJIeHh4OSe-zwZKuJIKpxCWJB62CDbwRPHg6XPCiKyPMemGEst5LrW400NprOhHQCGMUQz57kQxnW3e3mJb5mpj7FpyBMHAEA6KFb3ZWBEsYo2kMRAs0AvWIYP2bigI2Jn92REXRCfCKwnOZf69s6CLyWrFATEXB17G2T30PaNLo_fjxoplz62ZoSVjY0A90VtFoY_I_pgkjxcLTTd_kpKd-tAOlxMWnTkP_5q9LZcd_U4sRvvprXZdTTrtNQJ7yraUBL178bYzwRGAvaqLiVfSU5pj9rlkpzfigcFFa7-Ti2-Z7jmGa0OK8bwRyuNPwR5ul5vEXtl2z96rZ7Ne6zzazcxLJgVDPxtNl9MLAoHeHaquvePgvKAfL2Qp2As34wXYMRyeSHAS1BaHLcPn7y4ujNygctbCQBPB6tWX6L1LxogfmcdmbOT0eFFaO5SXbhSBQfS4QjWe9_UrBSwAAX4rPcd98M~2?etext=2202.U2Y9sRWod5Im4pK4Ue_dyHtxsB0SXtTNFjxh2dUnDY14hfd8AVWlP9DGB5gGlMD0cHpoc3dxbHBtdmxnbHBvcQ.ffcb415baf80421c83d33fbd432c154402dd5b9e&amp;from=yandex.ru%3Bsearch%26%23x2F%3B%3Bweb%3B%3B0%3B&amp;q=%D1%88%D0%B0%D0%BC%D0%BF%D1%83%D0%BD%D1%8C+%D0%BE%D1%82+%D0%BF%D0%B5%D1%80%D1%85%D0%BE%D1%82%D0%B8&amp;baobab_event_id=mmlzede6tn" TargetMode="External"/><Relationship Id="rId6" Type="http://schemas.openxmlformats.org/officeDocument/2006/relationships/hyperlink" Target="http://megapteka.ru/" TargetMode="External"/><Relationship Id="rId23" Type="http://schemas.openxmlformats.org/officeDocument/2006/relationships/hyperlink" Target="http://ozon.ru/" TargetMode="External"/><Relationship Id="rId28" Type="http://schemas.openxmlformats.org/officeDocument/2006/relationships/hyperlink" Target="http://ozon.ru/" TargetMode="External"/><Relationship Id="rId49" Type="http://schemas.openxmlformats.org/officeDocument/2006/relationships/hyperlink" Target="http://apteka.ru/" TargetMode="External"/><Relationship Id="rId114" Type="http://schemas.openxmlformats.org/officeDocument/2006/relationships/hyperlink" Target="https://apteka.ru/blog/articles/pro-uxod-za-soboj/kak-vybrat-shampun5f322c1307642248c30e46dd/" TargetMode="External"/><Relationship Id="rId119" Type="http://schemas.openxmlformats.org/officeDocument/2006/relationships/hyperlink" Target="https://probolezny.ru/perhot/" TargetMode="External"/><Relationship Id="rId44" Type="http://schemas.openxmlformats.org/officeDocument/2006/relationships/hyperlink" Target="https://www.kp.ru/woman/krasota/luchshie-shampuni-dlya-sukhikh-volos/" TargetMode="External"/><Relationship Id="rId60" Type="http://schemas.openxmlformats.org/officeDocument/2006/relationships/hyperlink" Target="https://yabs.yandex.ru/count/Wl8ejI_zOoVX2Lde0YKN03Ehf4CxP09cRvY0tbHon4-CW7U9W9w2gbJkD84-dykTFTlltFckhvslt_5wmntkDCTn_8bBdr5fRa_pspbzsazyAdLAauo6Z6hKr1j3rHh9McGabAGaL2qoeb4B2Sq8IbgwGRrHD0C7TQZ6KlsCuhWJQa-VzoqbeHIqL3L2Eb8YOKMY1jLM6oIEZ6OarLOIH4P18uYIZ8A6PlpjW2cRBEmcs3A_b3w29ZCTB3amw3YQQ0n05oW5YATm89ugGCk1MAe0BGVYg0Aq78Xt5A3bG9mjGCk1M4S1MWx4K0LeOtXfvNnDZ6redTq8AUHqQJ-ToTaRaWN1GcFIU6N705yMFJxrxRHhwb2Dfsq_xQWTZURIUvf7xpk_xTgUIdFxYUStVZzlgTHcWOFruY-GNjAkl9clRhmZO54zhcaTDcboipy5u93OeyFvVCDau_NSAPlT1m9k00UmWUklgE2XcSTAV8HfDUmOT06y9Ppk1E0waDLtlKQdYIIcVHc2POoHXalJRAFGKB9bYlXArE01M-wgEa0WW2y7j5YmFKRBzOMyO0w0y4vHSCxHpy_2raHWrv2GBeHT5dRGP1NADrV05Cm9HDb1OUifw30JoXRym5vYo4qT2sRIOfrYn7ICJiEOBqZfOKpYGGHD0T39O43MnVLhwYtl_6yaW8hJ3tidBu0VJE6HxNydR77vtWbRN3vNnclixmaypdtj3X3jp-u0qJBDtWWKPjaRWS8SCvVUvdBVTLtNQVC5GpUsj072c23fVO0m9aXwwwFqkj1P3-dBlukl3z6JVvWLb3y_fZqu0IS-T73z5rSSZEGs7Ta2-nstyaMAbsaDxyzh_-GG9Yc0FkkFQ6QkL2gLGcipnFQohFn26AZ9wf45GmGO_4t31q3TBVj0zl5VBN96GM8_-ugbTxFTIP2ikTAfLh9XN0N2rlOoD-gpWPSd-d3bzhj-oG184kTLyYa81V-_7zl4HP7wky08MwNrOne1~2?etext=2202.9qaYt-dbbUQAN36u5Db0f5SySBZPxphnasgS1z7V1vanpK6aqtxc72sgquNdSwi_eXJ0b2p0Zml1ZnVrY3l1bA.b9b7e2e733b97c875427de7c3677a66ac97a5d2b&amp;from=yandex.ru%3Bsearch%26%23x2F%3B%3Bweb%3B%3B0%3B&amp;q=%D0%BA%D0%BE%D0%BD%D0%B4%D0%B8%D1%86%D0%B8%D0%BE%D0%BD%D0%B5%D1%80+%D0%B4%D0%BB%D1%8F+%D0%B2%D0%BE%D0%BB%D0%BE%D1%81" TargetMode="External"/><Relationship Id="rId65" Type="http://schemas.openxmlformats.org/officeDocument/2006/relationships/hyperlink" Target="http://market.yandex.ru/" TargetMode="External"/><Relationship Id="rId81" Type="http://schemas.openxmlformats.org/officeDocument/2006/relationships/hyperlink" Target="https://apteka.ru/" TargetMode="External"/><Relationship Id="rId86" Type="http://schemas.openxmlformats.org/officeDocument/2006/relationships/hyperlink" Target="http://ozon.ru/" TargetMode="External"/><Relationship Id="rId130" Type="http://schemas.openxmlformats.org/officeDocument/2006/relationships/hyperlink" Target="https://planetazdorovo.ru/catalog/lekarstva-i-bad/kozha/seboreya-perkhot/sebozol-shampun-ot-perhoti-100-11780502/" TargetMode="External"/><Relationship Id="rId135" Type="http://schemas.openxmlformats.org/officeDocument/2006/relationships/hyperlink" Target="https://randewoo.ru/statiy/bessulfatnye-shampuni-top-10.html" TargetMode="External"/><Relationship Id="rId151" Type="http://schemas.openxmlformats.org/officeDocument/2006/relationships/hyperlink" Target="https://uteka.ru/catalog/podguzniki-i-pelenki-detskie/podguzniki-odnorazovye-detskie/" TargetMode="External"/><Relationship Id="rId156" Type="http://schemas.openxmlformats.org/officeDocument/2006/relationships/hyperlink" Target="http://apteka.ru/" TargetMode="External"/><Relationship Id="rId172" Type="http://schemas.openxmlformats.org/officeDocument/2006/relationships/printerSettings" Target="../printerSettings/printerSettings3.bin"/><Relationship Id="rId13" Type="http://schemas.openxmlformats.org/officeDocument/2006/relationships/hyperlink" Target="http://top-advisorr.ru/" TargetMode="External"/><Relationship Id="rId18" Type="http://schemas.openxmlformats.org/officeDocument/2006/relationships/hyperlink" Target="http://ozon.ru/" TargetMode="External"/><Relationship Id="rId39" Type="http://schemas.openxmlformats.org/officeDocument/2006/relationships/hyperlink" Target="https://yabs.yandex.ru/count/WmGejI_zOoVX2Lco0hKN0FFjhhxMBZs54p1xmmJqff8ZQ4KGy2uHq55iGL3kD84-dykTFTllt7d3dQ_VyNh37MxKjfqbga90IqaXaeo2aApLEkfqEfsvqxwdkOedY2Ma4TQXeoDgTSX8HWWdVaUV9Qf2FzSGUOpRIgC7bw36YnOkSWk0QaYhEGJGPucg49BL10dxTaA1RDokIe6gGL2fbHf4fOP0LEDgH9KcsKeaP90WCWeQSNIrSKH3QmTCsMHHnqF1o8BIHt0p3R2100mwZdVFjny5DA4B2DEI1N0v44yLeEL0B5M0bWDnL05Q3iGx2j1o8CuMeEL0hAC0BGTYg0AqCRoqShuc32CXQQMZm9mklGGSzVSXx3zuwIz2j7HHFcIz1oxCbak4R01n2x-ckYuS863T05yMFJvrRZzh6KCqxEZJ2RLlgUryub5eVakXUNrFRNlwjAFIwVDvIwNs2XoiJpAs66HnKWYOxyQRewH61rp8pkSR9XklvqxPx3uGS0CuW0rS_8YMhHGhi18VOLeDEmPT06y9fpi1kFHKJLacJIeHh4OSe-zwZKuJIKpxCWJB62CDbwRPHg6XPCiKyPMemGEst5LrW400NprOhHQCGMUQz57kQxnW3e3mJb5mpj7FpyBMHAEA6KFb3ZWBEsYo2kMRAs0AvWIYP2bigI2Jn92REXRCfCKwnOZf69s6CLyWrFATEXB17G2T30PaNLo_fjxoplz62ZoSVjY0A90VtFoY_I_pgkjxcLTTd_kpKd-tAOlxMWnTkP_5q9LZcd_U4sRvvprXZdTTrtNQJ7yraUBL178bYzwRGAvaqLiVfSU5pj9rlkpzfigcFFa7-Ti2-Z7jmGa0OK8bwRyuNPwR5ul5vEXtl2z96rZ7Ne6zzazcxLJgVDPxtNl9MLAoHeHaquvePgvKAfL2Qp2As34wXYMRyeSHAS1BaHLcPn7y4ujNygctbCQBPB6tWX6L1LxogfmcdmbOT0eFFaO5SXbhSBQfS4QjWe9_UrBSwAAX4rPcd98M~2?etext=2202.U2Y9sRWod5Im4pK4Ue_dyHtxsB0SXtTNFjxh2dUnDY14hfd8AVWlP9DGB5gGlMD0cHpoc3dxbHBtdmxnbHBvcQ.ffcb415baf80421c83d33fbd432c154402dd5b9e&amp;from=yandex.ru%3Bsearch%26%23x2F%3B%3Bweb%3B%3B0%3B&amp;q=%D1%88%D0%B0%D0%BC%D0%BF%D1%83%D0%BD%D1%8C+%D0%BE%D1%82+%D0%BF%D0%B5%D1%80%D1%85%D0%BE%D1%82%D0%B8&amp;baobab_event_id=mmlzede6tn" TargetMode="External"/><Relationship Id="rId109" Type="http://schemas.openxmlformats.org/officeDocument/2006/relationships/hyperlink" Target="https://wordstat.yandex.ru/?region=all&amp;view=table&amp;words=%D0%BA%D0%B0%D0%BA%D0%BE%D0%B9%20%D1%88%D0%B0%D0%BC%D0%BF%D1%83%D0%BD%D1%8C%20%D0%BB%D1%83%D1%87%D1%88%D0%B5%20%D0%BE%D1%82%20%D0%BF%D0%B5%D1%80%D1%85%D0%BE%D1%82%D0%B8" TargetMode="External"/><Relationship Id="rId34" Type="http://schemas.openxmlformats.org/officeDocument/2006/relationships/hyperlink" Target="https://lamoda.ru/" TargetMode="External"/><Relationship Id="rId50" Type="http://schemas.openxmlformats.org/officeDocument/2006/relationships/hyperlink" Target="http://ozon.ru/" TargetMode="External"/><Relationship Id="rId55" Type="http://schemas.openxmlformats.org/officeDocument/2006/relationships/hyperlink" Target="http://podrygka.ru/" TargetMode="External"/><Relationship Id="rId76" Type="http://schemas.openxmlformats.org/officeDocument/2006/relationships/hyperlink" Target="https://yabs.yandex.ru/count/WpiejI_zOoVX2Lb90sqP0ECkixxMCW_Hz0JCtZ01lQda2BWA0juB2EZGvtEvisVxdJlVzRNpzJjURxZ3lPzEQ6vFeqveZaUTKXjwIssU6oHiwz4D9Hwb819LAeaSAdNQF4XALYGIDa-IqH699ACZ4aP5F4TK4jOYeoAU91BE9yyH2G1OYQX5FqTBHaWoIE09WOJKVjvIQFwKGdbaa80-eTCe5CUZKfk7Ic89wIV9oEY8Y3eZwUU6qXBL2lI3P5GjijRu2JeA-g5nPFq1il53HBKgKM_ytE0f8Z6ryoW-bJgbF44_GaLBHqJK6KaaXgnAILOIITKYAXBG21isR0ZkW2cRBEgKS824gbGEq40Gg0zC33gEEant6mAP2cX25n2c2_0cK02N0_5K0LeEn585Q3aGHnMWvK2yem0j1-9i0LeEn3eAq78WXYf06yDBA-Thuap5na41369okhIVhWKobzRKeHfH_1brFg7IfoszdSvdr7xQTfrBexWpVzxFv_syfL9x1GxMDw4ovuNiCCaK83VUHYL21X0AEfzlc6oydZjbi_j0m0tW03PmlLONoHKfLc0bFiAq6dOCkW3U4avt0d3fgPgoTzoA2giHEy2awtgDJXD9JFio1CiO8msNfjb6eQ5aonJnbQZ10xRSLNM0G01V3kXQBpW0mZj5mJb7FpyBMnDLH33rEC0dMjX1arKetrm1Kp0tUUnHs3PrB1sZqp3chyDyBnWwy2LmX04Q281E1WEoBgvVKszvvt_Zp6FY3qS7vpxO9ixhVo_mwFlU2ppwFZS34VtlrQh1hrt03Uzd5t33OvgNP2_CyfBiXJdUTLtNQNFJocl7u0IoHdgVGDP8RtsK7XSwI__vyW_JwmGz-OTT2O7oOzg34t2o7RppNzyabqMbwBUqhZCroMLHANhjdnpIrFVbizxh_cehfPoN9uPoTaGpSwLIgHHQ0q78Zj4nC2DG_fyNF4yyGENA7lpls8D9ot_MZxL2eGSHm8NBX8LhW0qfwzxAkMl9rRqJOFZpnQR8DI8-LxLayPK0ylu2m_qf32DyaNyt3-eKdKjcyfWdP66BLS5zBc81HTq4rmwPjTwYEIsit5FYFG00~2?etext=2202.2vBCcGGJAJM5tnu5zO37XoU6uJOJNwyCPKCsnO3kIg71huu7JcVskNp3k8QjEJJD_kXwhi8-oYTzyRYNoK1Pb2lwdWVma3l5cHl1ZGdoZWY.1fbf81fb3be7bb640dd20038fd7ac2d38dfce2ea&amp;from=yandex.ru%3Bsearch%26%23x2F%3B%3Bweb%3B%3B0%3B&amp;q=%D1%88%D0%B0%D0%BC%D0%BF%D1%83%D0%BD%D1%8C+%D0%B4%D0%BB%D1%8F+%D0%B6%D0%B8%D1%80%D0%BD%D1%8B%D1%85+%D0%B2%D0%BE%D0%BB%D0%BE%D1%81" TargetMode="External"/><Relationship Id="rId97" Type="http://schemas.openxmlformats.org/officeDocument/2006/relationships/hyperlink" Target="http://podrygka.ru/" TargetMode="External"/><Relationship Id="rId104" Type="http://schemas.openxmlformats.org/officeDocument/2006/relationships/hyperlink" Target="https://wordstat.yandex.ru/?region=all&amp;view=table&amp;words=%D1%80%D0%B5%D0%B9%D1%82%D0%B8%D0%BD%D0%B3%20%D1%88%D0%B0%D0%BC%D0%BF%D1%83%D0%BD%D0%B5%D0%B9%20%D0%BE%D1%82%20%D0%BF%D0%B5%D1%80%D1%85%D0%BE%D1%82%D0%B8" TargetMode="External"/><Relationship Id="rId120" Type="http://schemas.openxmlformats.org/officeDocument/2006/relationships/hyperlink" Target="https://gemotest.ru/info/spravochnik/simptomy/perkhot/" TargetMode="External"/><Relationship Id="rId125" Type="http://schemas.openxmlformats.org/officeDocument/2006/relationships/hyperlink" Target="http://gorzdrav.org/" TargetMode="External"/><Relationship Id="rId141" Type="http://schemas.openxmlformats.org/officeDocument/2006/relationships/hyperlink" Target="https://yabs.yandex.ru/count/WfGejI_zOoVX2Lc70ZKK00DbZGmOUXCmUyC4zAOI97b04F1UG427Ff_BdJtRxzpvhg-Thz_nUiCTRfMAE-yxnssdr9xcTebg4HK9w1e2j_CIIa7M482MaaO8OPUmog0UXK2Y3YqT6HsLK48oIZ8n0ZM4caOH2IJhq90rQOGD6pQ-Ti2KJHPvF-vi8AL_eF0A279j67GSJI3oyV7nyIdXG3nLW9O3iLG1MWx4KGLeEH3lA43BWJXRW9O3iOu2j1o8eGhGRd3bc_Cr8KLA1ZlA-CpfqdrgJx0iUdpgAFwydxVzlADJwFEsSLiAZJwZTftdpkUDtzCeDFgyfLAR1GuM1m-rSvyW4RiiL_G-qF1zE9zlc6oytipBPlTE03U00zZ0pK5y4pEofSH7c5R3Za4Nm5l2wKu0BktaWAxhUetEGKaNBbQaWBpjqN1fccs8A4KNNYhYT0OFs79NrG420NnPeDMvkv2EtJn5Kl1BeeMjYIeLT80mpdbXOGTDLg5ySmLCmTpa4QQmZO7IiSmOdOOnmtmnA4Fu4K843nJ2T8KiDENzPDKbDlLODB_UpAl9zMPUpTt_HXy6LUM7FvEPumT_i_P_FnCat_kP8FdSfYFXtpUWANwj1Y2JFwi1o2JJJ7SDcMMwQyWSCvTUvdBVTLtNQJDpoEFYuGIoHdgVGDP8RoNmvGw7JRmy-NTDYedzcFRW19BS9LBvhs_guRT5q6zfNMTgwk6tHT1h_oJQbeaEd_KqCrSgbKgXDIa3s4iToZyfmfSDg0UuGG4O_1Ic0LVJfJhWZRh9QVWk_2oZiglE0-CZU93hUqHlsFfTl_B6R5J5cn3JMr7NmMqkd2TccQugL66J9k0qqFA2uk-K1SYYbChtLgdlUqq0~2?etext=2202.07OjtL3e8P7xMkkOy367XmLjQonxi-c4uh5TuJcPeU13Y2hjZmpvbHR2bWZwcW91.ac2c56c468a7178fc9f2db81eb4f424a04566d29&amp;from=ya.ru%3Bsearch%26%23x2F%3B%3Bweb%3B%3B0%3B&amp;q=%D0%BF%D0%BE%D0%B4%D0%B3%D1%83%D0%B7%D0%BD%D0%B8%D0%BA%D0%B8" TargetMode="External"/><Relationship Id="rId146" Type="http://schemas.openxmlformats.org/officeDocument/2006/relationships/hyperlink" Target="https://www.ozon.ru/category/detskie-podguzniki-7064/" TargetMode="External"/><Relationship Id="rId167" Type="http://schemas.openxmlformats.org/officeDocument/2006/relationships/hyperlink" Target="https://www.detmir.ru/catalog/index/name/sortforbrand/brand/19286/" TargetMode="External"/><Relationship Id="rId7" Type="http://schemas.openxmlformats.org/officeDocument/2006/relationships/hyperlink" Target="http://realty.yandex.ru/" TargetMode="External"/><Relationship Id="rId71" Type="http://schemas.openxmlformats.org/officeDocument/2006/relationships/hyperlink" Target="https://wordstat.yandex.ru/?region=all&amp;view=table&amp;words=heading%20shoulders" TargetMode="External"/><Relationship Id="rId92" Type="http://schemas.openxmlformats.org/officeDocument/2006/relationships/hyperlink" Target="https://wordstat.yandex.ru/?region=all&amp;view=table&amp;words=%D0%BF%D0%B0%D0%BD%D1%82%D0%B8%D0%BD" TargetMode="External"/><Relationship Id="rId162" Type="http://schemas.openxmlformats.org/officeDocument/2006/relationships/hyperlink" Target="http://market.yandex.ru/" TargetMode="External"/><Relationship Id="rId2" Type="http://schemas.openxmlformats.org/officeDocument/2006/relationships/hyperlink" Target="http://oralb-russia.ru/" TargetMode="External"/><Relationship Id="rId29" Type="http://schemas.openxmlformats.org/officeDocument/2006/relationships/hyperlink" Target="http://apteka.ru/" TargetMode="External"/><Relationship Id="rId24" Type="http://schemas.openxmlformats.org/officeDocument/2006/relationships/hyperlink" Target="https://yabs.yandex.ru/count/WqiejI_zOoVX2Lc20-qP02Fli_v8sby2Pfy0rnice3UL744hWe3t0W8wzFbSxkpPVkVE6-vy_OxN6-vmQrYhI2Ua86wUenDI43n99wGWZ8fug2Ua89nF7Xedf22YzjCvZU9uL6hp09sGWd3UqdmApPzIA8-C4r8Gq-VjX4wbJYbFq0afYEZJ-RoTJlj7gSYQP4Kwub4AeWBPIhTzX0UL258I-Y5IMWhn_Ab1vR4IKOjEI44eKODuh4Stb4v8GLoHU8oiCdweGbKhaT1Fqf6CdweGzUW52mfAL2Em1Y4j6IMPS3gZJoY98192IaOpaAn7TGqX9IEa8n9MeHfAII5OgoIIZ8QCQjHK9EkC82EaEibQuuRO3fYooQAEXuAH1QMFu6OQO0C167GSJMIfRe1p5cDp89ugGCk1MAe0BGVYg0Aq78Xt5A3bG9mjGCk1M4S1MWx4K0LeOtXfvNnD-2b1vCwCG-HqQJ-cgJWMFJvrRZzh6KCqxEZJ2RLlgUryub5eVakXUNrFRNlwjAFIwVDvIwNs2XoiJpAs66HnKWYOxyRBmxCLQGuvds-ORBoUEsMp-q303U00Dd0_M3d29SKAhCH7c5R3Za4Nm5l2wKu0BZrLK-w10YTN8wQ99APz6O9bZ966IzDiez1GicMA-4hKu05RxgewG220hnwirWiEWF1EKN3EqS_FmjR44vkow509ty8Ecgn2-UOAc8AvoKEFmjPJq64cbBsEAZ7afewbOtGQnlnrcEy5GYtVgICHt07GoM10riNrQ-ejx_nlh93szSFE9U4FRWvc_zU3xlTwqFrS4Qxy_UPjozVIMB8_IsF9Cisqb1-pJ4lvCSVCfRUvt7TTrtNQJ7yraU95L_tHErtrHszzb1uNEklVVBc3bzoS9_-mAoYEVanxS09EkAnW-QzlaXDR5FijhUjCJN9YYsAl_PD3ddpi7T7CNAbKAeNMO1InOtGCJApoL-24jIkomkmC8Vn9sMEcm0essFjWH0OyI5WH8SlHPm2dzWXK0s8OO1x-XcMut6BVshwxuY6YOIgQYe1lRIwThmfA8PHsmBTy0ShyawnnJfZlgnjgGkSlHJmY5MFdpfQPqxOc-7ptHS8jEez3MlGhh8nP0ZG0~2?etext=2202.U2Y9sRWod5Im4pK4Ue_dyHtxsB0SXtTNFjxh2dUnDY14hfd8AVWlP9DGB5gGlMD0cHpoc3dxbHBtdmxnbHBvcQ.ffcb415baf80421c83d33fbd432c154402dd5b9e&amp;from=yandex.ru%3Bsearch%26%23x2F%3B%3Bweb%3B%3B0%3B&amp;q=%D1%88%D0%B0%D0%BC%D0%BF%D1%83%D0%BD%D1%8C+%D0%BE%D1%82+%D0%BF%D0%B5%D1%80%D1%85%D0%BE%D1%82%D0%B8" TargetMode="External"/><Relationship Id="rId40" Type="http://schemas.openxmlformats.org/officeDocument/2006/relationships/hyperlink" Target="http://apteka.ru/" TargetMode="External"/><Relationship Id="rId45" Type="http://schemas.openxmlformats.org/officeDocument/2006/relationships/hyperlink" Target="http://ozon.ru/" TargetMode="External"/><Relationship Id="rId66" Type="http://schemas.openxmlformats.org/officeDocument/2006/relationships/hyperlink" Target="https://yabs.yandex.ru/count/WmGejI_zOoVX2Lco0hKN0FFjhhxMBZs54p1xmmJqff8ZQ4KGy2uHq55iGL3kD84-dykTFTllt7d3dQ_VyNh37MxKjfqbga90IqaXaeo2aApLEkfqEfsvqxwdkOedY2Ma4TQXeoDgTSX8HWWdVaUV9Qf2FzSGUOpRIgC7bw36YnOkSWk0QaYhEGJGPucg49BL10dxTaA1RDokIe6gGL2fbHf4fOP0LEDgH9KcsKeaP90WCWeQSNIrSKH3QmTCsMHHnqF1o8BIHt0p3R2100mwZdVFjny5DA4B2DEI1N0v44yLeEL0B5M0bWDnL05Q3iGx2j1o8CuMeEL0hAC0BGTYg0AqCRoqShuc32CXQQMZm9mklGGSzVSXx3zuwIz2j7HHFcIz1oxCbak4R01n2x-ckYuS863T05yMFJvrRZzh6KCqxEZJ2RLlgUryub5eVakXUNrFRNlwjAFIwVDvIwNs2XoiJpAs66HnKWYOxyQRewH61rp8pkSR9XklvqxPx3uGS0CuW0rS_8YMhHGhi18VOLeDEmPT06y9fpi1kFHKJLacJIeHh4OSe-zwZKuJIKpxCWJB62CDbwRPHg6XPCiKyPMemGEst5LrW400NprOhHQCGMUQz57kQxnW3e3mJb5mpj7FpyBMHAEA6KFb3ZWBEsYo2kMRAs0AvWIYP2bigI2Jn92REXRCfCKwnOZf69s6CLyWrFATEXB17G2T30PaNLo_fjxoplz62ZoSVjY0A90VtFoY_I_pgkjxcLTTd_kpKd-tAOlxMWnTkP_5q9LZcd_U4sRvvprXZdTTrtNQJ7yraUBL178bYzwRGAvaqLiVfSU5pj9rlkpzfigcFFa7-Ti2-Z7jmGa0OK8bwRyuNPwR5ul5vEXtl2z96rZ7Ne6zzazcxLJgVDPxtNl9MLAoHeHaquvePgvKAfL2Qp2As34wXYMRyeSHAS1BaHLcPn7y4ujNygctbCQBPB6tWX6L1LxogfmcdmbOT0eFFaO5SXbhSBQfS4QjWe9_UrBSwAAX4rPcd98M~2?etext=2202.U2Y9sRWod5Im4pK4Ue_dyHtxsB0SXtTNFjxh2dUnDY14hfd8AVWlP9DGB5gGlMD0cHpoc3dxbHBtdmxnbHBvcQ.ffcb415baf80421c83d33fbd432c154402dd5b9e&amp;from=yandex.ru%3Bsearch%26%23x2F%3B%3Bweb%3B%3B0%3B&amp;q=%D1%88%D0%B0%D0%BC%D0%BF%D1%83%D0%BD%D1%8C+%D0%BE%D1%82+%D0%BF%D0%B5%D1%80%D1%85%D0%BE%D1%82%D0%B8&amp;baobab_event_id=mmlzede6tn" TargetMode="External"/><Relationship Id="rId87" Type="http://schemas.openxmlformats.org/officeDocument/2006/relationships/hyperlink" Target="http://podrygka.ru/" TargetMode="External"/><Relationship Id="rId110" Type="http://schemas.openxmlformats.org/officeDocument/2006/relationships/hyperlink" Target="https://yabs.yandex.ru/count/WtuejI_zOoVX2Lc10uKR0DDpnCmj7di2Pfy0Du5j0jgcaYE5MX3mNa10XpwVovqzs-_S-QwldQ_VyNh37QwpX5qDaKEbJhj4D2X43kq1uKG1eWGqA4G9F2X42QSz1GfXL5GYbmA5oADFvtGQVKgXpcU9A508kmGKA4I96oX4YIUG3HIbXh0M6HMLW593bC2f8KhSr10bdjGG9Mng22Wq6isVK2VKYKUbKLkQGw5s2Iarn2sTFf_sRJjpw3DwvpQUI-iILQ4VfHaoX8Qk9kmVf_rpFw5IwxDgspTGRjz0KIhqXaAfqsWjf6Gq0ybwL1Sj7H5HPoJLIbGae1irQXfK6dKHTUYe5hfHmqW6TKQIqP5L1lLeX16H4TBH22MX6aP5GZYix80fcopiufho54ebp4qL4deF1Xr74ur1wcg4swOSYASAq78WbYf0ou4ugW0j1-8T1MWv46SBq78Wrb60bWCnL05QiYzqOapoX4kmYOg0SGmlhPolYRuA8YmQuEL0JfSMIvATMFJur7dKhgb3DQHvT9fFfT2eT3gDuhSDlMsxdZfpAJHgsy_e_RobKfi53hR45yKeGBfrIYPll6CBwe1m83cVRvXil9uxPRFxGC0Du00sSBsMDr6A5LY9Zp2jXXs3Be2tX5CH0RZqL4tPCsrfcweHz-YwhjVeD974j2z3i8mnqd1fccqK6agsJ15VYHeyOCjTLGS81F3bWAvb0sC8c-YYfQMbfQNLxFDQMO8X6m3XdQBWdAEVduMjYIajmd8mzAOixA39AfHlhe0fc9iymXIsde8ECw5iuL7_nf2REXRCfEjYCM8wHgTXp5-7-Lv0tCBrOuUv2O1E1WEoBgvVKszvvt_ZX2dn3-iWCdxmX1ry_nl3G_1xOtW8Vku4H_tlEcFprtx8ulUp7xBuCStDFo3CSlCF27Eywxgkq-QPjY-FJ0EKzKPw7w2iDz9RvkxBFsn7NQGd_x0TX7j-J7jm0asSr9dzrpSH0VAewBUqhZCr4G7ogEYrVv8Dx3pdizxhlio5t0MhTX-FHpGpLogLIg4r8oqsaqdv0r0z-ehtJ0027VmW4VEmEEtI1HbYT0Koqttok-SmfGgXATXeECytsz9-6JR2sQIntNKL6VFmu4kNDqKcEuRl_i8E_fsogfZctz5tcKZNwJ7ciRW5Qr9KId1s6As45YNrhHBdyTq0~2?etext=2202.iDqxkV9MGMXknPPjOquBFbPipbyHWFNEcKIY7rLsJVL1Ui2L7QIEjwUb5619GbpJ-G1S2ujXklQ1d3nBTRXtmnl6aWtoZHRxd2VoamZ5bGQ.5cb948a5941a65967c8fdfd5b77289ecd97014ca&amp;from=yandex.ru%3Bsearch%3Bweb%3B%3B0%3B&amp;q=%D0%BA%D0%B0%D0%BA%D0%BE%D0%B9+%D1%88%D0%B0%D0%BC%D0%BF%D1%83%D0%BD%D1%8C+%D0%BB%D1%83%D1%87%D1%88%D0%B5+%D0%BE%D1%82+%D0%BF%D0%B5%D1%80%D1%85%D0%BE%D1%82%D0%B8" TargetMode="External"/><Relationship Id="rId115" Type="http://schemas.openxmlformats.org/officeDocument/2006/relationships/hyperlink" Target="https://www.aroma-butik.ru/articles/kak-vybrat-shampun-po-tipu-volos/" TargetMode="External"/><Relationship Id="rId131" Type="http://schemas.openxmlformats.org/officeDocument/2006/relationships/hyperlink" Target="https://wordstat.yandex.ru/?region=all&amp;view=table&amp;words=%D1%88%D0%B0%D0%BC%D0%BF%D1%83%D0%BD%D1%8C%20%D0%B1%D0%B5%D0%B7%20%D1%81%D1%83%D0%BB%D1%8C%D1%84%D0%B0%D1%82%D0%BE%D0%B2" TargetMode="External"/><Relationship Id="rId136" Type="http://schemas.openxmlformats.org/officeDocument/2006/relationships/hyperlink" Target="https://wordstat.yandex.ru/?region=all&amp;view=table&amp;words=%D0%B1%D0%B5%D0%B7%D1%81%D1%83%D0%BB%D1%8C%D1%84%D0%B0%D1%82%D0%BD%D1%8B%D0%B9%20%D1%88%D0%B0%D0%BC%D0%BF%D1%83%D0%BD%D1%8C" TargetMode="External"/><Relationship Id="rId157" Type="http://schemas.openxmlformats.org/officeDocument/2006/relationships/hyperlink" Target="https://yabs.yandex.ru/count/WfGejI_zOoVX2Lc70ZKK00DbZGmOUXCmUyC4zAOI97b04F1UG427Ff_BdJtRxzpvhg-Thz_nUiCTRfMAE-yxnssdr9xcTebg4HK9w1e2j_CIIa7M482MaaO8OPUmog0UXK2Y3YqT6HsLK48oIZ8n0ZM4caOH2IJhq90rQOGD6pQ-Ti2KJHPvF-vi8AL_eF0A279j67GSJI3oyV7nyIdXG3nLW9O3iLG1MWx4KGLeEH3lA43BWJXRW9O3iOu2j1o8eGhGRd3bc_Cr8KLA1ZlA-CpfqdrgJx0iUdpgAFwydxVzlADJwFEsSLiAZJwZTftdpkUDtzCeDFgyfLAR1GuM1m-rSvyW4RiiL_G-qF1zE9zlc6oytipBPlTE03U00zZ0pK5y4pEofSH7c5R3Za4Nm5l2wKu0BktaWAxhUetEGKaNBbQaWBpjqN1fccs8A4KNNYhYT0OFs79NrG420NnPeDMvkv2EtJn5Kl1BeeMjYIeLT80mpdbXOGTDLg5ySmLCmTpa4QQmZO7IiSmOdOOnmtmnA4Fu4K843nJ2T8KiDENzPDKbDlLODB_UpAl9zMPUpTt_HXy6LUM7FvEPumT_i_P_FnCat_kP8FdSfYFXtpUWANwj1Y2JFwi1o2JJJ7SDcMMwQyWSCvTUvdBVTLtNQJDpoEFYuGIoHdgVGDP8RoNmvGw7JRmy-NTDYedzcFRW19BS9LBvhs_guRT5q6zfNMTgwk6tHT1h_oJQbeaEd_KqCrSgbKgXDIa3s4iToZyfmfSDg0UuGG4O_1Ic0LVJfJhWZRh9QVWk_2oZiglE0-CZU93hUqHlsFfTl_B6R5J5cn3JMr7NmMqkd2TccQugL66J9k0qqFA2uk-K1SYYbChtLgdlUqq0~2?etext=2202.07OjtL3e8P7xMkkOy367XmLjQonxi-c4uh5TuJcPeU13Y2hjZmpvbHR2bWZwcW91.ac2c56c468a7178fc9f2db81eb4f424a04566d29&amp;from=ya.ru%3Bsearch%26%23x2F%3B%3Bweb%3B%3B0%3B&amp;q=%D0%BF%D0%BE%D0%B4%D0%B3%D1%83%D0%B7%D0%BD%D0%B8%D0%BA%D0%B8" TargetMode="External"/><Relationship Id="rId61" Type="http://schemas.openxmlformats.org/officeDocument/2006/relationships/hyperlink" Target="https://yabs.yandex.ru/count/WmGejI_zOoVX2Lco0hKN0FFjhhxMBZs54p1xmmJqff8ZQ4KGy2uHq55iGL3kD84-dykTFTllt7d3dQ_VyNh37MxKjfqbga90IqaXaeo2aApLEkfqEfsvqxwdkOedY2Ma4TQXeoDgTSX8HWWdVaUV9Qf2FzSGUOpRIgC7bw36YnOkSWk0QaYhEGJGPucg49BL10dxTaA1RDokIe6gGL2fbHf4fOP0LEDgH9KcsKeaP90WCWeQSNIrSKH3QmTCsMHHnqF1o8BIHt0p3R2100mwZdVFjny5DA4B2DEI1N0v44yLeEL0B5M0bWDnL05Q3iGx2j1o8CuMeEL0hAC0BGTYg0AqCRoqShuc32CXQQMZm9mklGGSzVSXx3zuwIz2j7HHFcIz1oxCbak4R01n2x-ckYuS863T05yMFJvrRZzh6KCqxEZJ2RLlgUryub5eVakXUNrFRNlwjAFIwVDvIwNs2XoiJpAs66HnKWYOxyQRewH61rp8pkSR9XklvqxPx3uGS0CuW0rS_8YMhHGhi18VOLeDEmPT06y9fpi1kFHKJLacJIeHh4OSe-zwZKuJIKpxCWJB62CDbwRPHg6XPCiKyPMemGEst5LrW400NprOhHQCGMUQz57kQxnW3e3mJb5mpj7FpyBMHAEA6KFb3ZWBEsYo2kMRAs0AvWIYP2bigI2Jn92REXRCfCKwnOZf69s6CLyWrFATEXB17G2T30PaNLo_fjxoplz62ZoSVjY0A90VtFoY_I_pgkjxcLTTd_kpKd-tAOlxMWnTkP_5q9LZcd_U4sRvvprXZdTTrtNQJ7yraUBL178bYzwRGAvaqLiVfSU5pj9rlkpzfigcFFa7-Ti2-Z7jmGa0OK8bwRyuNPwR5ul5vEXtl2z96rZ7Ne6zzazcxLJgVDPxtNl9MLAoHeHaquvePgvKAfL2Qp2As34wXYMRyeSHAS1BaHLcPn7y4ujNygctbCQBPB6tWX6L1LxogfmcdmbOT0eFFaO5SXbhSBQfS4QjWe9_UrBSwAAX4rPcd98M~2?etext=2202.U2Y9sRWod5Im4pK4Ue_dyHtxsB0SXtTNFjxh2dUnDY14hfd8AVWlP9DGB5gGlMD0cHpoc3dxbHBtdmxnbHBvcQ.ffcb415baf80421c83d33fbd432c154402dd5b9e&amp;from=yandex.ru%3Bsearch%26%23x2F%3B%3Bweb%3B%3B0%3B&amp;q=%D1%88%D0%B0%D0%BC%D0%BF%D1%83%D0%BD%D1%8C+%D0%BE%D1%82+%D0%BF%D0%B5%D1%80%D1%85%D0%BE%D1%82%D0%B8&amp;baobab_event_id=mmlzede6tn" TargetMode="External"/><Relationship Id="rId82" Type="http://schemas.openxmlformats.org/officeDocument/2006/relationships/hyperlink" Target="https://yabs.yandex.ru/count/WmGejI_zOoVX2Lco0hKN0FFjhhxMBZs54p1xmmJqff8ZQ4KGy2uHq55iGL3kD84-dykTFTllt7d3dQ_VyNh37MxKjfqbga90IqaXaeo2aApLEkfqEfsvqxwdkOedY2Ma4TQXeoDgTSX8HWWdVaUV9Qf2FzSGUOpRIgC7bw36YnOkSWk0QaYhEGJGPucg49BL10dxTaA1RDokIe6gGL2fbHf4fOP0LEDgH9KcsKeaP90WCWeQSNIrSKH3QmTCsMHHnqF1o8BIHt0p3R2100mwZdVFjny5DA4B2DEI1N0v44yLeEL0B5M0bWDnL05Q3iGx2j1o8CuMeEL0hAC0BGTYg0AqCRoqShuc32CXQQMZm9mklGGSzVSXx3zuwIz2j7HHFcIz1oxCbak4R01n2x-ckYuS863T05yMFJvrRZzh6KCqxEZJ2RLlgUryub5eVakXUNrFRNlwjAFIwVDvIwNs2XoiJpAs66HnKWYOxyQRewH61rp8pkSR9XklvqxPx3uGS0CuW0rS_8YMhHGhi18VOLeDEmPT06y9fpi1kFHKJLacJIeHh4OSe-zwZKuJIKpxCWJB62CDbwRPHg6XPCiKyPMemGEst5LrW400NprOhHQCGMUQz57kQxnW3e3mJb5mpj7FpyBMHAEA6KFb3ZWBEsYo2kMRAs0AvWIYP2bigI2Jn92REXRCfCKwnOZf69s6CLyWrFATEXB17G2T30PaNLo_fjxoplz62ZoSVjY0A90VtFoY_I_pgkjxcLTTd_kpKd-tAOlxMWnTkP_5q9LZcd_U4sRvvprXZdTTrtNQJ7yraUBL178bYzwRGAvaqLiVfSU5pj9rlkpzfigcFFa7-Ti2-Z7jmGa0OK8bwRyuNPwR5ul5vEXtl2z96rZ7Ne6zzazcxLJgVDPxtNl9MLAoHeHaquvePgvKAfL2Qp2As34wXYMRyeSHAS1BaHLcPn7y4ujNygctbCQBPB6tWX6L1LxogfmcdmbOT0eFFaO5SXbhSBQfS4QjWe9_UrBSwAAX4rPcd98M~2?etext=2202.U2Y9sRWod5Im4pK4Ue_dyHtxsB0SXtTNFjxh2dUnDY14hfd8AVWlP9DGB5gGlMD0cHpoc3dxbHBtdmxnbHBvcQ.ffcb415baf80421c83d33fbd432c154402dd5b9e&amp;from=yandex.ru%3Bsearch%26%23x2F%3B%3Bweb%3B%3B0%3B&amp;q=%D1%88%D0%B0%D0%BC%D0%BF%D1%83%D0%BD%D1%8C+%D0%BE%D1%82+%D0%BF%D0%B5%D1%80%D1%85%D0%BE%D1%82%D0%B8&amp;baobab_event_id=mmlzede6tn" TargetMode="External"/><Relationship Id="rId152" Type="http://schemas.openxmlformats.org/officeDocument/2006/relationships/hyperlink" Target="https://uteka.ru/catalog/podguzniki-i-pelenki-detskie/podguzniki-odnorazovye-detskie/" TargetMode="External"/><Relationship Id="rId19" Type="http://schemas.openxmlformats.org/officeDocument/2006/relationships/hyperlink" Target="https://yabs.yandex.ru/count/WqiejI_zOoVX2Lc20-qP02Fli_v8sby2Pfy0rnice3UL744hWe3t0W8wzFbSxkpPVkVE6-vy_OxN6-vmQrYhI2Ua86wUenDI43n99wGWZ8fug2Ua89nF7Xedf22YzjCvZU9uL6hp09sGWd3UqdmApPzIA8-C4r8Gq-VjX4wbJYbFq0afYEZJ-RoTJlj7gSYQP4Kwub4AeWBPIhTzX0UL258I-Y5IMWhn_Ab1vR4IKOjEI44eKODuh4Stb4v8GLoHU8oiCdweGbKhaT1Fqf6CdweGzUW52mfAL2Em1Y4j6IMPS3gZJoY98192IaOpaAn7TGqX9IEa8n9MeHfAII5OgoIIZ8QCQjHK9EkC82EaEibQuuRO3fYooQAEXuAH1QMFu6OQO0C167GSJMIfRe1p5cDp89ugGCk1MAe0BGVYg0Aq78Xt5A3bG9mjGCk1M4S1MWx4K0LeOtXfvNnD-2b1vCwCG-HqQJ-cgJWMFJvrRZzh6KCqxEZJ2RLlgUryub5eVakXUNrFRNlwjAFIwVDvIwNs2XoiJpAs66HnKWYOxyRBmxCLQGuvds-ORBoUEsMp-q303U00Dd0_M3d29SKAhCH7c5R3Za4Nm5l2wKu0BZrLK-w10YTN8wQ99APz6O9bZ966IzDiez1GicMA-4hKu05RxgewG220hnwirWiEWF1EKN3EqS_FmjR44vkow509ty8Ecgn2-UOAc8AvoKEFmjPJq64cbBsEAZ7afewbOtGQnlnrcEy5GYtVgICHt07GoM10riNrQ-ejx_nlh93szSFE9U4FRWvc_zU3xlTwqFrS4Qxy_UPjozVIMB8_IsF9Cisqb1-pJ4lvCSVCfRUvt7TTrtNQJ7yraU95L_tHErtrHszzb1uNEklVVBc3bzoS9_-mAoYEVanxS09EkAnW-QzlaXDR5FijhUjCJN9YYsAl_PD3ddpi7T7CNAbKAeNMO1InOtGCJApoL-24jIkomkmC8Vn9sMEcm0essFjWH0OyI5WH8SlHPm2dzWXK0s8OO1x-XcMut6BVshwxuY6YOIgQYe1lRIwThmfA8PHsmBTy0ShyawnnJfZlgnjgGkSlHJmY5MFdpfQPqxOc-7ptHS8jEez3MlGhh8nP0ZG0~2?etext=2202.U2Y9sRWod5Im4pK4Ue_dyHtxsB0SXtTNFjxh2dUnDY14hfd8AVWlP9DGB5gGlMD0cHpoc3dxbHBtdmxnbHBvcQ.ffcb415baf80421c83d33fbd432c154402dd5b9e&amp;from=yandex.ru%3Bsearch%26%23x2F%3B%3Bweb%3B%3B0%3B&amp;q=%D1%88%D0%B0%D0%BC%D0%BF%D1%83%D0%BD%D1%8C+%D0%BE%D1%82+%D0%BF%D0%B5%D1%80%D1%85%D0%BE%D1%82%D0%B8" TargetMode="External"/><Relationship Id="rId14" Type="http://schemas.openxmlformats.org/officeDocument/2006/relationships/hyperlink" Target="http://ozon.ru/" TargetMode="External"/><Relationship Id="rId30" Type="http://schemas.openxmlformats.org/officeDocument/2006/relationships/hyperlink" Target="https://yabs.yandex.ru/count/WmGejI_zOoVX2Lco0hKN0FFjhhxMBZs54p1xmmJqff8ZQ4KGy2uHq55iGL3kD84-dykTFTllt7d3dQ_VyNh37MxKjfqbga90IqaXaeo2aApLEkfqEfsvqxwdkOedY2Ma4TQXeoDgTSX8HWWdVaUV9Qf2FzSGUOpRIgC7bw36YnOkSWk0QaYhEGJGPucg49BL10dxTaA1RDokIe6gGL2fbHf4fOP0LEDgH9KcsKeaP90WCWeQSNIrSKH3QmTCsMHHnqF1o8BIHt0p3R2100mwZdVFjny5DA4B2DEI1N0v44yLeEL0B5M0bWDnL05Q3iGx2j1o8CuMeEL0hAC0BGTYg0AqCRoqShuc32CXQQMZm9mklGGSzVSXx3zuwIz2j7HHFcIz1oxCbak4R01n2x-ckYuS863T05yMFJvrRZzh6KCqxEZJ2RLlgUryub5eVakXUNrFRNlwjAFIwVDvIwNs2XoiJpAs66HnKWYOxyQRewH61rp8pkSR9XklvqxPx3uGS0CuW0rS_8YMhHGhi18VOLeDEmPT06y9fpi1kFHKJLacJIeHh4OSe-zwZKuJIKpxCWJB62CDbwRPHg6XPCiKyPMemGEst5LrW400NprOhHQCGMUQz57kQxnW3e3mJb5mpj7FpyBMHAEA6KFb3ZWBEsYo2kMRAs0AvWIYP2bigI2Jn92REXRCfCKwnOZf69s6CLyWrFATEXB17G2T30PaNLo_fjxoplz62ZoSVjY0A90VtFoY_I_pgkjxcLTTd_kpKd-tAOlxMWnTkP_5q9LZcd_U4sRvvprXZdTTrtNQJ7yraUBL178bYzwRGAvaqLiVfSU5pj9rlkpzfigcFFa7-Ti2-Z7jmGa0OK8bwRyuNPwR5ul5vEXtl2z96rZ7Ne6zzazcxLJgVDPxtNl9MLAoHeHaquvePgvKAfL2Qp2As34wXYMRyeSHAS1BaHLcPn7y4ujNygctbCQBPB6tWX6L1LxogfmcdmbOT0eFFaO5SXbhSBQfS4QjWe9_UrBSwAAX4rPcd98M~2?etext=2202.U2Y9sRWod5Im4pK4Ue_dyHtxsB0SXtTNFjxh2dUnDY14hfd8AVWlP9DGB5gGlMD0cHpoc3dxbHBtdmxnbHBvcQ.ffcb415baf80421c83d33fbd432c154402dd5b9e&amp;from=yandex.ru%3Bsearch%26%23x2F%3B%3Bweb%3B%3B0%3B&amp;q=%D1%88%D0%B0%D0%BC%D0%BF%D1%83%D0%BD%D1%8C+%D0%BE%D1%82+%D0%BF%D0%B5%D1%80%D1%85%D0%BE%D1%82%D0%B8&amp;baobab_event_id=mmlzede6tn" TargetMode="External"/><Relationship Id="rId35" Type="http://schemas.openxmlformats.org/officeDocument/2006/relationships/hyperlink" Target="http://market.yandex.ru/" TargetMode="External"/><Relationship Id="rId56" Type="http://schemas.openxmlformats.org/officeDocument/2006/relationships/hyperlink" Target="https://yabs.yandex.ru/count/WmGejI_zOoVX2Lco0hKN0FFjhhxMBZs54p1xmmJqff8ZQ4KGy2uHq55iGL3kD84-dykTFTllt7d3dQ_VyNh37MxKjfqbga90IqaXaeo2aApLEkfqEfsvqxwdkOedY2Ma4TQXeoDgTSX8HWWdVaUV9Qf2FzSGUOpRIgC7bw36YnOkSWk0QaYhEGJGPucg49BL10dxTaA1RDokIe6gGL2fbHf4fOP0LEDgH9KcsKeaP90WCWeQSNIrSKH3QmTCsMHHnqF1o8BIHt0p3R2100mwZdVFjny5DA4B2DEI1N0v44yLeEL0B5M0bWDnL05Q3iGx2j1o8CuMeEL0hAC0BGTYg0AqCRoqShuc32CXQQMZm9mklGGSzVSXx3zuwIz2j7HHFcIz1oxCbak4R01n2x-ckYuS863T05yMFJvrRZzh6KCqxEZJ2RLlgUryub5eVakXUNrFRNlwjAFIwVDvIwNs2XoiJpAs66HnKWYOxyQRewH61rp8pkSR9XklvqxPx3uGS0CuW0rS_8YMhHGhi18VOLeDEmPT06y9fpi1kFHKJLacJIeHh4OSe-zwZKuJIKpxCWJB62CDbwRPHg6XPCiKyPMemGEst5LrW400NprOhHQCGMUQz57kQxnW3e3mJb5mpj7FpyBMHAEA6KFb3ZWBEsYo2kMRAs0AvWIYP2bigI2Jn92REXRCfCKwnOZf69s6CLyWrFATEXB17G2T30PaNLo_fjxoplz62ZoSVjY0A90VtFoY_I_pgkjxcLTTd_kpKd-tAOlxMWnTkP_5q9LZcd_U4sRvvprXZdTTrtNQJ7yraUBL178bYzwRGAvaqLiVfSU5pj9rlkpzfigcFFa7-Ti2-Z7jmGa0OK8bwRyuNPwR5ul5vEXtl2z96rZ7Ne6zzazcxLJgVDPxtNl9MLAoHeHaquvePgvKAfL2Qp2As34wXYMRyeSHAS1BaHLcPn7y4ujNygctbCQBPB6tWX6L1LxogfmcdmbOT0eFFaO5SXbhSBQfS4QjWe9_UrBSwAAX4rPcd98M~2?etext=2202.U2Y9sRWod5Im4pK4Ue_dyHtxsB0SXtTNFjxh2dUnDY14hfd8AVWlP9DGB5gGlMD0cHpoc3dxbHBtdmxnbHBvcQ.ffcb415baf80421c83d33fbd432c154402dd5b9e&amp;from=yandex.ru%3Bsearch%26%23x2F%3B%3Bweb%3B%3B0%3B&amp;q=%D1%88%D0%B0%D0%BC%D0%BF%D1%83%D0%BD%D1%8C+%D0%BE%D1%82+%D0%BF%D0%B5%D1%80%D1%85%D0%BE%D1%82%D0%B8&amp;baobab_event_id=mmlzede6tn" TargetMode="External"/><Relationship Id="rId77" Type="http://schemas.openxmlformats.org/officeDocument/2006/relationships/hyperlink" Target="https://wordstat.yandex.ru/?region=all&amp;view=table&amp;words=head%20and%20shoulders" TargetMode="External"/><Relationship Id="rId100" Type="http://schemas.openxmlformats.org/officeDocument/2006/relationships/hyperlink" Target="https://wordstat.yandex.ru/?region=all&amp;view=table&amp;words=%D0%B1%D0%B0%D0%BB%D1%8C%D0%B7%D0%B0%D0%BC%20%D0%BF%D0%B0%D0%BD%D1%82%D0%B8%D0%BD" TargetMode="External"/><Relationship Id="rId105" Type="http://schemas.openxmlformats.org/officeDocument/2006/relationships/hyperlink" Target="https://stolichki.ru/clubs/beauty/healthy_hair/luchshie-shampuni-ot-perkhoti" TargetMode="External"/><Relationship Id="rId126" Type="http://schemas.openxmlformats.org/officeDocument/2006/relationships/hyperlink" Target="http://stolichki.ru/" TargetMode="External"/><Relationship Id="rId147" Type="http://schemas.openxmlformats.org/officeDocument/2006/relationships/hyperlink" Target="https://yabs.yandex.ru/count/WfGejI_zOoVX2Lc70ZKK00DbZGmOUXCmUyC4zAOI97b04F1UG427Ff_BdJtRxzpvhg-Thz_nUiCTRfMAE-yxnssdr9xcTebg4HK9w1e2j_CIIa7M482MaaO8OPUmog0UXK2Y3YqT6HsLK48oIZ8n0ZM4caOH2IJhq90rQOGD6pQ-Ti2KJHPvF-vi8AL_eF0A279j67GSJI3oyV7nyIdXG3nLW9O3iLG1MWx4KGLeEH3lA43BWJXRW9O3iOu2j1o8eGhGRd3bc_Cr8KLA1ZlA-CpfqdrgJx0iUdpgAFwydxVzlADJwFEsSLiAZJwZTftdpkUDtzCeDFgyfLAR1GuM1m-rSvyW4RiiL_G-qF1zE9zlc6oytipBPlTE03U00zZ0pK5y4pEofSH7c5R3Za4Nm5l2wKu0BktaWAxhUetEGKaNBbQaWBpjqN1fccs8A4KNNYhYT0OFs79NrG420NnPeDMvkv2EtJn5Kl1BeeMjYIeLT80mpdbXOGTDLg5ySmLCmTpa4QQmZO7IiSmOdOOnmtmnA4Fu4K843nJ2T8KiDENzPDKbDlLODB_UpAl9zMPUpTt_HXy6LUM7FvEPumT_i_P_FnCat_kP8FdSfYFXtpUWANwj1Y2JFwi1o2JJJ7SDcMMwQyWSCvTUvdBVTLtNQJDpoEFYuGIoHdgVGDP8RoNmvGw7JRmy-NTDYedzcFRW19BS9LBvhs_guRT5q6zfNMTgwk6tHT1h_oJQbeaEd_KqCrSgbKgXDIa3s4iToZyfmfSDg0UuGG4O_1Ic0LVJfJhWZRh9QVWk_2oZiglE0-CZU93hUqHlsFfTl_B6R5J5cn3JMr7NmMqkd2TccQugL66J9k0qqFA2uk-K1SYYbChtLgdlUqq0~2?etext=2202.07OjtL3e8P7xMkkOy367XmLjQonxi-c4uh5TuJcPeU13Y2hjZmpvbHR2bWZwcW91.ac2c56c468a7178fc9f2db81eb4f424a04566d29&amp;from=ya.ru%3Bsearch%26%23x2F%3B%3Bweb%3B%3B0%3B&amp;q=%D0%BF%D0%BE%D0%B4%D0%B3%D1%83%D0%B7%D0%BD%D0%B8%D0%BA%D0%B8" TargetMode="External"/><Relationship Id="rId168" Type="http://schemas.openxmlformats.org/officeDocument/2006/relationships/hyperlink" Target="http://ozon.ru/" TargetMode="External"/><Relationship Id="rId8" Type="http://schemas.openxmlformats.org/officeDocument/2006/relationships/hyperlink" Target="http://doctorslon.ru/" TargetMode="External"/><Relationship Id="rId51" Type="http://schemas.openxmlformats.org/officeDocument/2006/relationships/hyperlink" Target="http://podrygka.ru/" TargetMode="External"/><Relationship Id="rId72" Type="http://schemas.openxmlformats.org/officeDocument/2006/relationships/hyperlink" Target="http://market.yandex.ru/" TargetMode="External"/><Relationship Id="rId93" Type="http://schemas.openxmlformats.org/officeDocument/2006/relationships/hyperlink" Target="http://podrygka.ru/" TargetMode="External"/><Relationship Id="rId98" Type="http://schemas.openxmlformats.org/officeDocument/2006/relationships/hyperlink" Target="https://goldapple.ru/" TargetMode="External"/><Relationship Id="rId121" Type="http://schemas.openxmlformats.org/officeDocument/2006/relationships/hyperlink" Target="https://megapteka.ru/specials/luchshie-sredstva-ot-5369" TargetMode="External"/><Relationship Id="rId142" Type="http://schemas.openxmlformats.org/officeDocument/2006/relationships/hyperlink" Target="http://ozon.ru/" TargetMode="External"/><Relationship Id="rId163" Type="http://schemas.openxmlformats.org/officeDocument/2006/relationships/hyperlink" Target="https://www.detmir.ru/catalog/index/name/sortforbrand/brand/19286/" TargetMode="External"/><Relationship Id="rId3" Type="http://schemas.openxmlformats.org/officeDocument/2006/relationships/hyperlink" Target="http://braun-russia.ru/" TargetMode="External"/><Relationship Id="rId25" Type="http://schemas.openxmlformats.org/officeDocument/2006/relationships/hyperlink" Target="http://apteka.ru/" TargetMode="External"/><Relationship Id="rId46" Type="http://schemas.openxmlformats.org/officeDocument/2006/relationships/hyperlink" Target="https://yabs.yandex.ru/count/WliejI_zOoVX2LbW0sqN0EFecnIm4Kd0x0qJq9jAZlGz8U3r2EZGvtEvisVxdJlVzRNpzJjURxZ3jNCGTeeSX9qxK_YWk5MSSFx8iFueZM1LiiemelvKYwWtVew6QWJzA8rWLVhveGPHP_mS3VrKXQX7JkTT4oqXAGLPZv9g9ACXew3Qg4Y8YAeaLACkMZeYeiv88h64D6B8MbHa99IKPBqQ8HqDKQr8HaFP7J1bauNTqm471fM-H5GC26KXOD1nDD7ulS3AauSl1-Af0hGSYAKAq78WZYf0ou5uHm5Q3iJP0hGSY7KKeEL035M0DeQNLixN1EHOHMCt2aDEbnQRxOYmwF6fRwTTKuTguDAe3Pq-dpXKQajlvtGwhV5eD3g5Gf_J-txUKgcz0WVhnLyWlQHTUJDVtNYT94xXTbBEvnic6w_dJjdiFX1m0pY03Lp_GugPsnUO4XzXMWqx1bq0Rmad8m9mwQcQyX6U5ISrOff8OjgN8LZ666cuDCqs2WqbMwQ8hqGD7h3bhge310BuSa3Nxk002EyK1USS_VmiR4rKwTQWUtYHMTX1arKetrm1Cy50OiXDEaQdOSmN3W6hXcYLY0g0JWO3iYwkNrDlUUT_et_JaVV3dszgoGS3TS7_E-8lo_UE-ClokVaZtT-NM4B9h_L4wEP-rXEXcsEQcKzUPfdvv6MEcKkldzBacxVhkgxJPfaYOsCnkf6cnnFqE7gVeCVHMn-bruNECgTy-Ny52Ulpv0zsvcBsOzg34m1KSkJHV_55fXvXNKfGxBMUYLOJ8tW-wmCP2w-Sb7GHM_EwVtDCDDD1oOeRFAAPkLAfL0gjoVWs4mJbDoHRyScov0CFBVnS8-06ECaI4b5XT9NhvgfZPKrCsfFLrDXALbDTvU45H-PNoBmB-fVhnHWKkO_IhUxVhMd6JQcYpAYfhAlqHRrsTg6cYx3APbRvf30KZ0LdpyFZ0mzGshoiZdRpbwNCzHZIZWZ7NFkiWiDov25XaJwzDi7h_rRPfgHy~2?etext=2202.wzcP2X7nD92-Foty4BTwlFDAH9I84l7xAsBV28T3glKYFa3yovIMVm1_AN9OIQ0qiRPn_MRf9GdrKm3ShCuVO3p5YnB4d2tveGhmanBxZXQ.0fcdc0766b08ab83ae4b67c015b52faa12f7735e&amp;from=yandex.ru%3Bsearch%26%23x2F%3B%3Bweb%3B%3B0%3B&amp;q=%D1%88%D0%B0%D0%BC%D0%BF%D1%83%D0%BD%D1%8C+%D0%B4%D0%BB%D1%8F+%D0%BE%D0%BA%D1%80%D0%B0%D1%88%D0%B5%D0%BD%D0%BD%D1%8B%D1%85+%D0%B2%D0%BE%D0%BB%D0%BE%D1%81" TargetMode="External"/><Relationship Id="rId67" Type="http://schemas.openxmlformats.org/officeDocument/2006/relationships/hyperlink" Target="http://ozon.ru/" TargetMode="External"/><Relationship Id="rId116" Type="http://schemas.openxmlformats.org/officeDocument/2006/relationships/hyperlink" Target="https://stolichki.ru/clubs/beauty/healthy_hair/vybiraem-podhodyashchij-shampun-dlya-zdorovya-volos-pod-vash-tip-kozhi-golovy" TargetMode="External"/><Relationship Id="rId137" Type="http://schemas.openxmlformats.org/officeDocument/2006/relationships/hyperlink" Target="http://ozon.ru/" TargetMode="External"/><Relationship Id="rId158" Type="http://schemas.openxmlformats.org/officeDocument/2006/relationships/hyperlink" Target="http://market.yandex.ru/" TargetMode="External"/><Relationship Id="rId20" Type="http://schemas.openxmlformats.org/officeDocument/2006/relationships/hyperlink" Target="http://apteka.ru/" TargetMode="External"/><Relationship Id="rId41" Type="http://schemas.openxmlformats.org/officeDocument/2006/relationships/hyperlink" Target="https://wordstat.yandex.ru/?region=all&amp;view=table&amp;words=%D0%BA%D0%B0%D0%BA%D0%B8%D0%B5%20%D1%88%D0%B0%D0%BC%D0%BF%D1%83%D0%BD%D0%B8%20%D0%B4%D0%BB%D1%8F%20%D1%81%D1%83%D1%85%D0%B8%D1%85%20%D0%B2%D0%BE%D0%BB%D0%BE%D1%81" TargetMode="External"/><Relationship Id="rId62" Type="http://schemas.openxmlformats.org/officeDocument/2006/relationships/hyperlink" Target="http://ozon.ru/" TargetMode="External"/><Relationship Id="rId83" Type="http://schemas.openxmlformats.org/officeDocument/2006/relationships/hyperlink" Target="https://wordstat.yandex.ru/?region=all&amp;view=table&amp;words=%D1%88%D0%B0%D0%BC%D0%BF%D1%83%D0%BD%D1%8C%20pantene" TargetMode="External"/><Relationship Id="rId88" Type="http://schemas.openxmlformats.org/officeDocument/2006/relationships/hyperlink" Target="https://wordstat.yandex.ru/?region=all&amp;view=table&amp;words=pantene" TargetMode="External"/><Relationship Id="rId111" Type="http://schemas.openxmlformats.org/officeDocument/2006/relationships/hyperlink" Target="https://stolichki.ru/clubs/beauty/healthy_hair/luchshie-shampuni-ot-perkhoti" TargetMode="External"/><Relationship Id="rId132" Type="http://schemas.openxmlformats.org/officeDocument/2006/relationships/hyperlink" Target="https://goldapple.ru/s/bezsulfatnij-shampun" TargetMode="External"/><Relationship Id="rId153" Type="http://schemas.openxmlformats.org/officeDocument/2006/relationships/hyperlink" Target="http://market.yandex.ru/" TargetMode="External"/><Relationship Id="rId15" Type="http://schemas.openxmlformats.org/officeDocument/2006/relationships/hyperlink" Target="http://ozon.ru/" TargetMode="External"/><Relationship Id="rId36" Type="http://schemas.openxmlformats.org/officeDocument/2006/relationships/hyperlink" Target="https://yabs.yandex.ru/count/WmGejI_zOoVX2Lco0hKN0FFjhhxMBZs54p1xmmJqff8ZQ4KGy2uHq55iGL3kD84-dykTFTllt7d3dQ_VyNh37MxKjfqbga90IqaXaeo2aApLEkfqEfsvqxwdkOedY2Ma4TQXeoDgTSX8HWWdVaUV9Qf2FzSGUOpRIgC7bw36YnOkSWk0QaYhEGJGPucg49BL10dxTaA1RDokIe6gGL2fbHf4fOP0LEDgH9KcsKeaP90WCWeQSNIrSKH3QmTCsMHHnqF1o8BIHt0p3R2100mwZdVFjny5DA4B2DEI1N0v44yLeEL0B5M0bWDnL05Q3iGx2j1o8CuMeEL0hAC0BGTYg0AqCRoqShuc32CXQQMZm9mklGGSzVSXx3zuwIz2j7HHFcIz1oxCbak4R01n2x-ckYuS863T05yMFJvrRZzh6KCqxEZJ2RLlgUryub5eVakXUNrFRNlwjAFIwVDvIwNs2XoiJpAs66HnKWYOxyQRewH61rp8pkSR9XklvqxPx3uGS0CuW0rS_8YMhHGhi18VOLeDEmPT06y9fpi1kFHKJLacJIeHh4OSe-zwZKuJIKpxCWJB62CDbwRPHg6XPCiKyPMemGEst5LrW400NprOhHQCGMUQz57kQxnW3e3mJb5mpj7FpyBMHAEA6KFb3ZWBEsYo2kMRAs0AvWIYP2bigI2Jn92REXRCfCKwnOZf69s6CLyWrFATEXB17G2T30PaNLo_fjxoplz62ZoSVjY0A90VtFoY_I_pgkjxcLTTd_kpKd-tAOlxMWnTkP_5q9LZcd_U4sRvvprXZdTTrtNQJ7yraUBL178bYzwRGAvaqLiVfSU5pj9rlkpzfigcFFa7-Ti2-Z7jmGa0OK8bwRyuNPwR5ul5vEXtl2z96rZ7Ne6zzazcxLJgVDPxtNl9MLAoHeHaquvePgvKAfL2Qp2As34wXYMRyeSHAS1BaHLcPn7y4ujNygctbCQBPB6tWX6L1LxogfmcdmbOT0eFFaO5SXbhSBQfS4QjWe9_UrBSwAAX4rPcd98M~2?etext=2202.U2Y9sRWod5Im4pK4Ue_dyHtxsB0SXtTNFjxh2dUnDY14hfd8AVWlP9DGB5gGlMD0cHpoc3dxbHBtdmxnbHBvcQ.ffcb415baf80421c83d33fbd432c154402dd5b9e&amp;from=yandex.ru%3Bsearch%26%23x2F%3B%3Bweb%3B%3B0%3B&amp;q=%D1%88%D0%B0%D0%BC%D0%BF%D1%83%D0%BD%D1%8C+%D0%BE%D1%82+%D0%BF%D0%B5%D1%80%D1%85%D0%BE%D1%82%D0%B8&amp;baobab_event_id=mmlzede6tn" TargetMode="External"/><Relationship Id="rId57" Type="http://schemas.openxmlformats.org/officeDocument/2006/relationships/hyperlink" Target="http://apteka.ru/" TargetMode="External"/><Relationship Id="rId106" Type="http://schemas.openxmlformats.org/officeDocument/2006/relationships/hyperlink" Target="https://megapteka.ru/specials/luchshie-sredstva-ot-5369" TargetMode="External"/><Relationship Id="rId127" Type="http://schemas.openxmlformats.org/officeDocument/2006/relationships/hyperlink" Target="https://wordstat.yandex.ru/?region=all&amp;view=table&amp;words=%D1%88%D0%B0%D0%BC%D0%BF%D1%83%D0%BD%D1%8C%20%D0%BE%D1%82%20%D0%BF%D0%B5%D1%80%D1%85%D0%BE%D1%82%D0%B8%20%D0%BB%D0%B5%D1%87%D0%B5%D0%B1%D0%BD%D1%8B%D0%B9" TargetMode="External"/><Relationship Id="rId10" Type="http://schemas.openxmlformats.org/officeDocument/2006/relationships/hyperlink" Target="http://ozon.ru/" TargetMode="External"/><Relationship Id="rId31" Type="http://schemas.openxmlformats.org/officeDocument/2006/relationships/hyperlink" Target="http://market.yandex.ru/" TargetMode="External"/><Relationship Id="rId52" Type="http://schemas.openxmlformats.org/officeDocument/2006/relationships/hyperlink" Target="http://market.yandex.ru/" TargetMode="External"/><Relationship Id="rId73" Type="http://schemas.openxmlformats.org/officeDocument/2006/relationships/hyperlink" Target="https://yabs.yandex.ru/count/WmGejI_zOoVX2Lco0hKN0FFjhhxMBZs54p1xmmJqff8ZQ4KGy2uHq55iGL3kD84-dykTFTllt7d3dQ_VyNh37MxKjfqbga90IqaXaeo2aApLEkfqEfsvqxwdkOedY2Ma4TQXeoDgTSX8HWWdVaUV9Qf2FzSGUOpRIgC7bw36YnOkSWk0QaYhEGJGPucg49BL10dxTaA1RDokIe6gGL2fbHf4fOP0LEDgH9KcsKeaP90WCWeQSNIrSKH3QmTCsMHHnqF1o8BIHt0p3R2100mwZdVFjny5DA4B2DEI1N0v44yLeEL0B5M0bWDnL05Q3iGx2j1o8CuMeEL0hAC0BGTYg0AqCRoqShuc32CXQQMZm9mklGGSzVSXx3zuwIz2j7HHFcIz1oxCbak4R01n2x-ckYuS863T05yMFJvrRZzh6KCqxEZJ2RLlgUryub5eVakXUNrFRNlwjAFIwVDvIwNs2XoiJpAs66HnKWYOxyQRewH61rp8pkSR9XklvqxPx3uGS0CuW0rS_8YMhHGhi18VOLeDEmPT06y9fpi1kFHKJLacJIeHh4OSe-zwZKuJIKpxCWJB62CDbwRPHg6XPCiKyPMemGEst5LrW400NprOhHQCGMUQz57kQxnW3e3mJb5mpj7FpyBMHAEA6KFb3ZWBEsYo2kMRAs0AvWIYP2bigI2Jn92REXRCfCKwnOZf69s6CLyWrFATEXB17G2T30PaNLo_fjxoplz62ZoSVjY0A90VtFoY_I_pgkjxcLTTd_kpKd-tAOlxMWnTkP_5q9LZcd_U4sRvvprXZdTTrtNQJ7yraUBL178bYzwRGAvaqLiVfSU5pj9rlkpzfigcFFa7-Ti2-Z7jmGa0OK8bwRyuNPwR5ul5vEXtl2z96rZ7Ne6zzazcxLJgVDPxtNl9MLAoHeHaquvePgvKAfL2Qp2As34wXYMRyeSHAS1BaHLcPn7y4ujNygctbCQBPB6tWX6L1LxogfmcdmbOT0eFFaO5SXbhSBQfS4QjWe9_UrBSwAAX4rPcd98M~2?etext=2202.U2Y9sRWod5Im4pK4Ue_dyHtxsB0SXtTNFjxh2dUnDY14hfd8AVWlP9DGB5gGlMD0cHpoc3dxbHBtdmxnbHBvcQ.ffcb415baf80421c83d33fbd432c154402dd5b9e&amp;from=yandex.ru%3Bsearch%26%23x2F%3B%3Bweb%3B%3B0%3B&amp;q=%D1%88%D0%B0%D0%BC%D0%BF%D1%83%D0%BD%D1%8C+%D0%BE%D1%82+%D0%BF%D0%B5%D1%80%D1%85%D0%BE%D1%82%D0%B8&amp;baobab_event_id=mmlzede6tn" TargetMode="External"/><Relationship Id="rId78" Type="http://schemas.openxmlformats.org/officeDocument/2006/relationships/hyperlink" Target="https://yabs.yandex.ru/count/WmGejI_zOoVX2Lco0hKN0FFjhhxMBZs54p1xmmJqff8ZQ4KGy2uHq55iGL3kD84-dykTFTllt7d3dQ_VyNh37MxKjfqbga90IqaXaeo2aApLEkfqEfsvqxwdkOedY2Ma4TQXeoDgTSX8HWWdVaUV9Qf2FzSGUOpRIgC7bw36YnOkSWk0QaYhEGJGPucg49BL10dxTaA1RDokIe6gGL2fbHf4fOP0LEDgH9KcsKeaP90WCWeQSNIrSKH3QmTCsMHHnqF1o8BIHt0p3R2100mwZdVFjny5DA4B2DEI1N0v44yLeEL0B5M0bWDnL05Q3iGx2j1o8CuMeEL0hAC0BGTYg0AqCRoqShuc32CXQQMZm9mklGGSzVSXx3zuwIz2j7HHFcIz1oxCbak4R01n2x-ckYuS863T05yMFJvrRZzh6KCqxEZJ2RLlgUryub5eVakXUNrFRNlwjAFIwVDvIwNs2XoiJpAs66HnKWYOxyQRewH61rp8pkSR9XklvqxPx3uGS0CuW0rS_8YMhHGhi18VOLeDEmPT06y9fpi1kFHKJLacJIeHh4OSe-zwZKuJIKpxCWJB62CDbwRPHg6XPCiKyPMemGEst5LrW400NprOhHQCGMUQz57kQxnW3e3mJb5mpj7FpyBMHAEA6KFb3ZWBEsYo2kMRAs0AvWIYP2bigI2Jn92REXRCfCKwnOZf69s6CLyWrFATEXB17G2T30PaNLo_fjxoplz62ZoSVjY0A90VtFoY_I_pgkjxcLTTd_kpKd-tAOlxMWnTkP_5q9LZcd_U4sRvvprXZdTTrtNQJ7yraUBL178bYzwRGAvaqLiVfSU5pj9rlkpzfigcFFa7-Ti2-Z7jmGa0OK8bwRyuNPwR5ul5vEXtl2z96rZ7Ne6zzazcxLJgVDPxtNl9MLAoHeHaquvePgvKAfL2Qp2As34wXYMRyeSHAS1BaHLcPn7y4ujNygctbCQBPB6tWX6L1LxogfmcdmbOT0eFFaO5SXbhSBQfS4QjWe9_UrBSwAAX4rPcd98M~2?etext=2202.U2Y9sRWod5Im4pK4Ue_dyHtxsB0SXtTNFjxh2dUnDY14hfd8AVWlP9DGB5gGlMD0cHpoc3dxbHBtdmxnbHBvcQ.ffcb415baf80421c83d33fbd432c154402dd5b9e&amp;from=yandex.ru%3Bsearch%26%23x2F%3B%3Bweb%3B%3B0%3B&amp;q=%D1%88%D0%B0%D0%BC%D0%BF%D1%83%D0%BD%D1%8C+%D0%BE%D1%82+%D0%BF%D0%B5%D1%80%D1%85%D0%BE%D1%82%D0%B8&amp;baobab_event_id=mmlzede6tn" TargetMode="External"/><Relationship Id="rId94" Type="http://schemas.openxmlformats.org/officeDocument/2006/relationships/hyperlink" Target="http://apteka.ru/" TargetMode="External"/><Relationship Id="rId99" Type="http://schemas.openxmlformats.org/officeDocument/2006/relationships/hyperlink" Target="http://apteka.ru/" TargetMode="External"/><Relationship Id="rId101" Type="http://schemas.openxmlformats.org/officeDocument/2006/relationships/hyperlink" Target="http://ozon.ru/" TargetMode="External"/><Relationship Id="rId122" Type="http://schemas.openxmlformats.org/officeDocument/2006/relationships/hyperlink" Target="https://wordstat.yandex.ru/?region=all&amp;view=table&amp;words=%D1%81%D1%80%D0%B5%D0%B4%D1%81%D1%82%D0%B2%D0%BE%20%D0%BE%D1%82%20%D0%BF%D0%B5%D1%80%D1%85%D0%BE%D1%82%D0%B8" TargetMode="External"/><Relationship Id="rId143" Type="http://schemas.openxmlformats.org/officeDocument/2006/relationships/hyperlink" Target="https://www.detmir.ru/catalog/index/name/podguzniki/" TargetMode="External"/><Relationship Id="rId148" Type="http://schemas.openxmlformats.org/officeDocument/2006/relationships/hyperlink" Target="https://apteka.ru/category/baby-child/baby/" TargetMode="External"/><Relationship Id="rId164" Type="http://schemas.openxmlformats.org/officeDocument/2006/relationships/hyperlink" Target="http://ozon.ru/" TargetMode="External"/><Relationship Id="rId169" Type="http://schemas.openxmlformats.org/officeDocument/2006/relationships/hyperlink" Target="http://market.yandex.ru/" TargetMode="External"/><Relationship Id="rId4" Type="http://schemas.openxmlformats.org/officeDocument/2006/relationships/hyperlink" Target="http://ozon.ru/" TargetMode="External"/><Relationship Id="rId9" Type="http://schemas.openxmlformats.org/officeDocument/2006/relationships/hyperlink" Target="http://market.yandex.ru/" TargetMode="External"/><Relationship Id="rId26" Type="http://schemas.openxmlformats.org/officeDocument/2006/relationships/hyperlink" Target="https://wordstat.yandex.ru/?region=all&amp;view=table&amp;words=%D1%88%D0%B0%D0%BC%D0%BF%D1%83%D0%BD%D1%8C%20%D0%B4%D0%BB%D1%8F%20%D0%BF%D0%B5%D1%80%D1%85%D0%BE%D1%82%D0%B8" TargetMode="External"/><Relationship Id="rId47" Type="http://schemas.openxmlformats.org/officeDocument/2006/relationships/hyperlink" Target="https://yabs.yandex.ru/count/WpiejI_zOoVX2Lb90sqP0ECkixxMCW_Hz0JCtZ01lQda2BWA0juB2EZGvtEvisVxdJlVzRNpzJjURxZ3lPzEQ6vFeqveZaUTKXjwIssU6oHiwz4D9Hwb819LAeaSAdNQF4XALYGIDa-IqH699ACZ4aP5F4TK4jOYeoAU91BE9yyH2G1OYQX5FqTBHaWoIE09WOJKVjvIQFwKGdbaa80-eTCe5CUZKfk7Ic89wIV9oEY8Y3eZwUU6qXBL2lI3P5GjijRu2JeA-g5nPFq1il53HBKgKM_ytE0f8Z6ryoW-bJgbF44_GaLBHqJK6KaaXgnAILOIITKYAXBG21isR0ZkW2cRBEgKS824gbGEq40Gg0zC33gEEant6mAP2cX25n2c2_0cK02N0_5K0LeEn585Q3aGHnMWvK2yem0j1-9i0LeEn3eAq78WXYf06yDBA-Thuap5na41369okhIVhWKobzRKeHfH_1brFg7IfoszdSvdr7xQTfrBexWpVzxFv_syfL9x1GxMDw4ovuNiCCaK83VUHYL21X0AEfzlc6oydZjbi_j0m0tW03PmlLONoHKfLc0bFiAq6dOCkW3U4avt0d3fgPgoTzoA2giHEy2awtgDJXD9JFio1CiO8msNfjb6eQ5aonJnbQZ10xRSLNM0G01V3kXQBpW0mZj5mJb7FpyBMnDLH33rEC0dMjX1arKetrm1Kp0tUUnHs3PrB1sZqp3chyDyBnWwy2LmX04Q281E1WEoBgvVKszvvt_Zp6FY3qS7vpxO9ixhVo_mwFlU2ppwFZS34VtlrQh1hrt03Uzd5t33OvgNP2_CyfBiXJdUTLtNQNFJocl7u0IoHdgVGDP8RtsK7XSwI__vyW_JwmGz-OTT2O7oOzg34t2o7RppNzyabqMbwBUqhZCroMLHANhjdnpIrFVbizxh_cehfPoN9uPoTaGpSwLIgHHQ0q78Zj4nC2DG_fyNF4yyGENA7lpls8D9ot_MZxL2eGSHm8NBX8LhW0qfwzxAkMl9rRqJOFZpnQR8DI8-LxLayPK0ylu2m_qf32DyaNyt3-eKdKjcyfWdP66BLS5zBc81HTq4rmwPjTwYEIsit5FYFG00~2?etext=2202.2vBCcGGJAJM5tnu5zO37XoU6uJOJNwyCPKCsnO3kIg71huu7JcVskNp3k8QjEJJD_kXwhi8-oYTzyRYNoK1Pb2lwdWVma3l5cHl1ZGdoZWY.1fbf81fb3be7bb640dd20038fd7ac2d38dfce2ea&amp;from=yandex.ru%3Bsearch%26%23x2F%3B%3Bweb%3B%3B0%3B&amp;q=%D1%88%D0%B0%D0%BC%D0%BF%D1%83%D0%BD%D1%8C+%D0%B4%D0%BB%D1%8F+%D0%B6%D0%B8%D1%80%D0%BD%D1%8B%D1%85+%D0%B2%D0%BE%D0%BB%D0%BE%D1%81" TargetMode="External"/><Relationship Id="rId68" Type="http://schemas.openxmlformats.org/officeDocument/2006/relationships/hyperlink" Target="http://apteka.ru/" TargetMode="External"/><Relationship Id="rId89" Type="http://schemas.openxmlformats.org/officeDocument/2006/relationships/hyperlink" Target="https://pantene.com/" TargetMode="External"/><Relationship Id="rId112" Type="http://schemas.openxmlformats.org/officeDocument/2006/relationships/hyperlink" Target="https://zdravcity.ru/blog-o-zdorovie/vybiraem-s-ekspertom-shampun-ot-perkhoti/" TargetMode="External"/><Relationship Id="rId133" Type="http://schemas.openxmlformats.org/officeDocument/2006/relationships/hyperlink" Target="https://www.proficosmetics.ru/catalog/dlya-volos/shampuni/bez-sulfatov/" TargetMode="External"/><Relationship Id="rId154" Type="http://schemas.openxmlformats.org/officeDocument/2006/relationships/hyperlink" Target="https://www.detmir.ru/catalog/index/name/sortforbrand/brand/19286/" TargetMode="External"/><Relationship Id="rId16" Type="http://schemas.openxmlformats.org/officeDocument/2006/relationships/hyperlink" Target="https://wordstat.yandex.ru/?region=all&amp;view=table&amp;words=%D1%88%D0%B0%D0%BC%D0%BF%D1%83%D0%BD%D1%8C%20%D0%BE%D1%82%20%D0%BF%D0%B5%D1%80%D1%85%D0%BE%D1%82%D0%B8" TargetMode="External"/><Relationship Id="rId37" Type="http://schemas.openxmlformats.org/officeDocument/2006/relationships/hyperlink" Target="https://yabs.yandex.ru/count/WpiejI_zOoVX2Lb90sqP0ECkixxMCW_Hz0JCtZ01lQda2BWA0juB2EZGvtEvisVxdJlVzRNpzJjURxZ3lPzEQ6vFeqveZaUTKXjwIssU6oHiwz4D9Hwb819LAeaSAdNQF4XALYGIDa-IqH699ACZ4aP5F4TK4jOYeoAU91BE9yyH2G1OYQX5FqTBHaWoIE09WOJKVjvIQFwKGdbaa80-eTCe5CUZKfk7Ic89wIV9oEY8Y3eZwUU6qXBL2lI3P5GjijRu2JeA-g5nPFq1il53HBKgKM_ytE0f8Z6ryoW-bJgbF44_GaLBHqJK6KaaXgnAILOIITKYAXBG21isR0ZkW2cRBEgKS824gbGEq40Gg0zC33gEEant6mAP2cX25n2c2_0cK02N0_5K0LeEn585Q3aGHnMWvK2yem0j1-9i0LeEn3eAq78WXYf06yDBA-Thuap5na41369okhIVhWKobzRKeHfH_1brFg7IfoszdSvdr7xQTfrBexWpVzxFv_syfL9x1GxMDw4ovuNiCCaK83VUHYL21X0AEfzlc6oydZjbi_j0m0tW03PmlLONoHKfLc0bFiAq6dOCkW3U4avt0d3fgPgoTzoA2giHEy2awtgDJXD9JFio1CiO8msNfjb6eQ5aonJnbQZ10xRSLNM0G01V3kXQBpW0mZj5mJb7FpyBMnDLH33rEC0dMjX1arKetrm1Kp0tUUnHs3PrB1sZqp3chyDyBnWwy2LmX04Q281E1WEoBgvVKszvvt_Zp6FY3qS7vpxO9ixhVo_mwFlU2ppwFZS34VtlrQh1hrt03Uzd5t33OvgNP2_CyfBiXJdUTLtNQNFJocl7u0IoHdgVGDP8RtsK7XSwI__vyW_JwmGz-OTT2O7oOzg34t2o7RppNzyabqMbwBUqhZCroMLHANhjdnpIrFVbizxh_cehfPoN9uPoTaGpSwLIgHHQ0q78Zj4nC2DG_fyNF4yyGENA7lpls8D9ot_MZxL2eGSHm8NBX8LhW0qfwzxAkMl9rRqJOFZpnQR8DI8-LxLayPK0ylu2m_qf32DyaNyt3-eKdKjcyfWdP66BLS5zBc81HTq4rmwPjTwYEIsit5FYFG00~2?etext=2202.2vBCcGGJAJM5tnu5zO37XoU6uJOJNwyCPKCsnO3kIg71huu7JcVskNp3k8QjEJJD_kXwhi8-oYTzyRYNoK1Pb2lwdWVma3l5cHl1ZGdoZWY.1fbf81fb3be7bb640dd20038fd7ac2d38dfce2ea&amp;from=yandex.ru%3Bsearch%26%23x2F%3B%3Bweb%3B%3B0%3B&amp;q=%D1%88%D0%B0%D0%BC%D0%BF%D1%83%D0%BD%D1%8C+%D0%B4%D0%BB%D1%8F+%D0%B6%D0%B8%D1%80%D0%BD%D1%8B%D1%85+%D0%B2%D0%BE%D0%BB%D0%BE%D1%81" TargetMode="External"/><Relationship Id="rId58" Type="http://schemas.openxmlformats.org/officeDocument/2006/relationships/hyperlink" Target="http://market.yandex.ru/" TargetMode="External"/><Relationship Id="rId79" Type="http://schemas.openxmlformats.org/officeDocument/2006/relationships/hyperlink" Target="http://market.yandex.ru/" TargetMode="External"/><Relationship Id="rId102" Type="http://schemas.openxmlformats.org/officeDocument/2006/relationships/hyperlink" Target="http://podrygka.ru/" TargetMode="External"/><Relationship Id="rId123" Type="http://schemas.openxmlformats.org/officeDocument/2006/relationships/hyperlink" Target="https://www.ozon.ru/category/lechebnyy-shampun-ot-perhoti/" TargetMode="External"/><Relationship Id="rId144" Type="http://schemas.openxmlformats.org/officeDocument/2006/relationships/hyperlink" Target="https://yabs.yandex.ru/count/WmmejI_zOoVX2LbW0_KN01Difmr8KKl0x0qJq9jAa2GX8-1T8g13dy_bpfxjT-wyuSxNxtYzuGwtAeHaEw4vdZkVDXI7yimuod5BRsd-bEAsFRsZ-6rBSvkdAaJDuNJYqkaKXqAXF5KX6JcYpoX-tr7RhlxKg59_xf-a8QGb6zQV6qhMwizHzUU8wCQ8hpXE_1NJYOc8c_o6E9yWi7vkuZQnymd2AwOJEvyWfFpen6xYCN49fH6iIYPc125HhKcAEs3A9eky8eX9fYZz0t8uJfy667GSxqZy40feGXSGfYKBu78WdYf0ou5OgW0j1-Ae0hGSY7SKeEL0d2r0ou5OHm5Q3iHG1MWtkFBD-Peut9CMOGBJ8QUhjEDlDs1n2X8k4ozI-W1V5Zq-jJH_uZcEsr5x2iMdJkTq2gtlv_sqRwSJZqQVjrHghy31uk2XTkuJ96ANvSPBOqZUZYf6876AD_iXbGiBe2JEvnic6wytyxBPlHF03U00Dd2TWLbNDcnz7Q6HBIK-mhGQTWow05ul09TsSc27hkirEWSbNRXOaGBojaV3fMcs8Q8KNNYfYDCPF63BNLK720JmPO5Mv-uOmYOOlnTOUVBm5TAncwT82dv9jB0rWGZN93NZIw257JHPXVBD5J05SvE77eLj39IE1JDfTQSOCJD6fs7C63mD0Kww3yZ1T8KiDENzPDKbDlLODB_UpAl9zMPUpTt_nWsFuX_-04hkWvjoVV_B51D_BrDC_BaVIFVlDaJ0lXR35SYVnN05acdsR8BCicSJRFBDstLTrsdppBUAgunkcwItJ3vVzcTyFSeysVTndV3ycFPW1DO0mRp-Uvl59Bbw4ocBViVrBddNlLnjlTOdsR7MvpYP29dboP2niIEQcIkLIgNGsXIopGH1-Q4t7hXZWB007Hlybu5XOFUTCFt3O0h5Bt339BlRbxoPwKW8fYkH9U3WJwVzCEnrAiJl8GxdfzcKn0BrkT_B9fgQaA7c7NuuISu_7AYpfFc43vqi4fpwkLBgqm2xswc7VdPjbLLurWG0~2?etext=2202.K2uUa7A4XQMATcYJ6dRJG44wR9r-5N4gnttwMrQ0xjmhTIGeqD4dJN8ymhWxh-yIb3hpdmthdW5tbHJqZ3Foag.66b391455d19902007d2099a1e74791b44a75180&amp;from=ya.ru%3Bsearch%26%23x2F%3B%3Bweb%3B%3B0%3B&amp;q=%D0%B4%D0%B5%D1%82%D1%81%D0%BA%D0%B8%D0%B5+%D0%BF%D0%BE%D0%B4%D0%B3%D1%83%D0%B7%D0%BD%D0%B8%D0%BA%D0%B8&amp;clid=1601&amp;src_pof=1601" TargetMode="External"/><Relationship Id="rId90" Type="http://schemas.openxmlformats.org/officeDocument/2006/relationships/hyperlink" Target="https://www.podrygka.ru/catalog/brand_pantene_pro_v/" TargetMode="External"/><Relationship Id="rId165" Type="http://schemas.openxmlformats.org/officeDocument/2006/relationships/hyperlink" Target="https://vc.ru/lrate/2682030-luchshie-podguzniki-trusiki-dlya-detei-2026-goda" TargetMode="External"/><Relationship Id="rId27" Type="http://schemas.openxmlformats.org/officeDocument/2006/relationships/hyperlink" Target="https://yabs.yandex.ru/count/WmGejI_zOoVX2Lco0hKN0FFjhhxMBZs54p1xmmJqff8ZQ4KGy2uHq55iGL3kD84-dykTFTllt7d3dQ_VyNh37MxKjfqbga90IqaXaeo2aApLEkfqEfsvqxwdkOedY2Ma4TQXeoDgTSX8HWWdVaUV9Qf2FzSGUOpRIgC7bw36YnOkSWk0QaYhEGJGPucg49BL10dxTaA1RDokIe6gGL2fbHf4fOP0LEDgH9KcsKeaP90WCWeQSNIrSKH3QmTCsMHHnqF1o8BIHt0p3R2100mwZdVFjny5DA4B2DEI1N0v44yLeEL0B5M0bWDnL05Q3iGx2j1o8CuMeEL0hAC0BGTYg0AqCRoqShuc32CXQQMZm9mklGGSzVSXx3zuwIz2j7HHFcIz1oxCbak4R01n2x-ckYuS863T05yMFJvrRZzh6KCqxEZJ2RLlgUryub5eVakXUNrFRNlwjAFIwVDvIwNs2XoiJpAs66HnKWYOxyQRewH61rp8pkSR9XklvqxPx3uGS0CuW0rS_8YMhHGhi18VOLeDEmPT06y9fpi1kFHKJLacJIeHh4OSe-zwZKuJIKpxCWJB62CDbwRPHg6XPCiKyPMemGEst5LrW400NprOhHQCGMUQz57kQxnW3e3mJb5mpj7FpyBMHAEA6KFb3ZWBEsYo2kMRAs0AvWIYP2bigI2Jn92REXRCfCKwnOZf69s6CLyWrFATEXB17G2T30PaNLo_fjxoplz62ZoSVjY0A90VtFoY_I_pgkjxcLTTd_kpKd-tAOlxMWnTkP_5q9LZcd_U4sRvvprXZdTTrtNQJ7yraUBL178bYzwRGAvaqLiVfSU5pj9rlkpzfigcFFa7-Ti2-Z7jmGa0OK8bwRyuNPwR5ul5vEXtl2z96rZ7Ne6zzazcxLJgVDPxtNl9MLAoHeHaquvePgvKAfL2Qp2As34wXYMRyeSHAS1BaHLcPn7y4ujNygctbCQBPB6tWX6L1LxogfmcdmbOT0eFFaO5SXbhSBQfS4QjWe9_UrBSwAAX4rPcd98M~2?etext=2202.U2Y9sRWod5Im4pK4Ue_dyHtxsB0SXtTNFjxh2dUnDY14hfd8AVWlP9DGB5gGlMD0cHpoc3dxbHBtdmxnbHBvcQ.ffcb415baf80421c83d33fbd432c154402dd5b9e&amp;from=yandex.ru%3Bsearch%26%23x2F%3B%3Bweb%3B%3B0%3B&amp;q=%D1%88%D0%B0%D0%BC%D0%BF%D1%83%D0%BD%D1%8C+%D0%BE%D1%82+%D0%BF%D0%B5%D1%80%D1%85%D0%BE%D1%82%D0%B8&amp;baobab_event_id=mmlzede6tn" TargetMode="External"/><Relationship Id="rId48" Type="http://schemas.openxmlformats.org/officeDocument/2006/relationships/hyperlink" Target="https://yabs.yandex.ru/count/WmGejI_zOoVX2Lco0hKN0FFjhhxMBZs54p1xmmJqff8ZQ4KGy2uHq55iGL3kD84-dykTFTllt7d3dQ_VyNh37MxKjfqbga90IqaXaeo2aApLEkfqEfsvqxwdkOedY2Ma4TQXeoDgTSX8HWWdVaUV9Qf2FzSGUOpRIgC7bw36YnOkSWk0QaYhEGJGPucg49BL10dxTaA1RDokIe6gGL2fbHf4fOP0LEDgH9KcsKeaP90WCWeQSNIrSKH3QmTCsMHHnqF1o8BIHt0p3R2100mwZdVFjny5DA4B2DEI1N0v44yLeEL0B5M0bWDnL05Q3iGx2j1o8CuMeEL0hAC0BGTYg0AqCRoqShuc32CXQQMZm9mklGGSzVSXx3zuwIz2j7HHFcIz1oxCbak4R01n2x-ckYuS863T05yMFJvrRZzh6KCqxEZJ2RLlgUryub5eVakXUNrFRNlwjAFIwVDvIwNs2XoiJpAs66HnKWYOxyQRewH61rp8pkSR9XklvqxPx3uGS0CuW0rS_8YMhHGhi18VOLeDEmPT06y9fpi1kFHKJLacJIeHh4OSe-zwZKuJIKpxCWJB62CDbwRPHg6XPCiKyPMemGEst5LrW400NprOhHQCGMUQz57kQxnW3e3mJb5mpj7FpyBMHAEA6KFb3ZWBEsYo2kMRAs0AvWIYP2bigI2Jn92REXRCfCKwnOZf69s6CLyWrFATEXB17G2T30PaNLo_fjxoplz62ZoSVjY0A90VtFoY_I_pgkjxcLTTd_kpKd-tAOlxMWnTkP_5q9LZcd_U4sRvvprXZdTTrtNQJ7yraUBL178bYzwRGAvaqLiVfSU5pj9rlkpzfigcFFa7-Ti2-Z7jmGa0OK8bwRyuNPwR5ul5vEXtl2z96rZ7Ne6zzazcxLJgVDPxtNl9MLAoHeHaquvePgvKAfL2Qp2As34wXYMRyeSHAS1BaHLcPn7y4ujNygctbCQBPB6tWX6L1LxogfmcdmbOT0eFFaO5SXbhSBQfS4QjWe9_UrBSwAAX4rPcd98M~2?etext=2202.U2Y9sRWod5Im4pK4Ue_dyHtxsB0SXtTNFjxh2dUnDY14hfd8AVWlP9DGB5gGlMD0cHpoc3dxbHBtdmxnbHBvcQ.ffcb415baf80421c83d33fbd432c154402dd5b9e&amp;from=yandex.ru%3Bsearch%26%23x2F%3B%3Bweb%3B%3B0%3B&amp;q=%D1%88%D0%B0%D0%BC%D0%BF%D1%83%D0%BD%D1%8C+%D0%BE%D1%82+%D0%BF%D0%B5%D1%80%D1%85%D0%BE%D1%82%D0%B8&amp;baobab_event_id=mmlzede6tn" TargetMode="External"/><Relationship Id="rId69" Type="http://schemas.openxmlformats.org/officeDocument/2006/relationships/hyperlink" Target="https://yabs.yandex.ru/count/WmGejI_zOoVX2Lco0hKN0FFjhhxMBZs54p1xmmJqff8ZQ4KGy2uHq55iGL3kD84-dykTFTllt7d3dQ_VyNh37MxKjfqbga90IqaXaeo2aApLEkfqEfsvqxwdkOedY2Ma4TQXeoDgTSX8HWWdVaUV9Qf2FzSGUOpRIgC7bw36YnOkSWk0QaYhEGJGPucg49BL10dxTaA1RDokIe6gGL2fbHf4fOP0LEDgH9KcsKeaP90WCWeQSNIrSKH3QmTCsMHHnqF1o8BIHt0p3R2100mwZdVFjny5DA4B2DEI1N0v44yLeEL0B5M0bWDnL05Q3iGx2j1o8CuMeEL0hAC0BGTYg0AqCRoqShuc32CXQQMZm9mklGGSzVSXx3zuwIz2j7HHFcIz1oxCbak4R01n2x-ckYuS863T05yMFJvrRZzh6KCqxEZJ2RLlgUryub5eVakXUNrFRNlwjAFIwVDvIwNs2XoiJpAs66HnKWYOxyQRewH61rp8pkSR9XklvqxPx3uGS0CuW0rS_8YMhHGhi18VOLeDEmPT06y9fpi1kFHKJLacJIeHh4OSe-zwZKuJIKpxCWJB62CDbwRPHg6XPCiKyPMemGEst5LrW400NprOhHQCGMUQz57kQxnW3e3mJb5mpj7FpyBMHAEA6KFb3ZWBEsYo2kMRAs0AvWIYP2bigI2Jn92REXRCfCKwnOZf69s6CLyWrFATEXB17G2T30PaNLo_fjxoplz62ZoSVjY0A90VtFoY_I_pgkjxcLTTd_kpKd-tAOlxMWnTkP_5q9LZcd_U4sRvvprXZdTTrtNQJ7yraUBL178bYzwRGAvaqLiVfSU5pj9rlkpzfigcFFa7-Ti2-Z7jmGa0OK8bwRyuNPwR5ul5vEXtl2z96rZ7Ne6zzazcxLJgVDPxtNl9MLAoHeHaquvePgvKAfL2Qp2As34wXYMRyeSHAS1BaHLcPn7y4ujNygctbCQBPB6tWX6L1LxogfmcdmbOT0eFFaO5SXbhSBQfS4QjWe9_UrBSwAAX4rPcd98M~2?etext=2202.U2Y9sRWod5Im4pK4Ue_dyHtxsB0SXtTNFjxh2dUnDY14hfd8AVWlP9DGB5gGlMD0cHpoc3dxbHBtdmxnbHBvcQ.ffcb415baf80421c83d33fbd432c154402dd5b9e&amp;from=yandex.ru%3Bsearch%26%23x2F%3B%3Bweb%3B%3B0%3B&amp;q=%D1%88%D0%B0%D0%BC%D0%BF%D1%83%D0%BD%D1%8C+%D0%BE%D1%82+%D0%BF%D0%B5%D1%80%D1%85%D0%BE%D1%82%D0%B8&amp;baobab_event_id=mmlzede6tn" TargetMode="External"/><Relationship Id="rId113" Type="http://schemas.openxmlformats.org/officeDocument/2006/relationships/hyperlink" Target="https://wordstat.yandex.ru/?region=all&amp;view=table&amp;words=%D0%BA%D0%B0%D0%BA%20%D0%B2%D1%8B%D0%B1%D1%80%D0%B0%D1%82%D1%8C%20%D1%88%D0%B0%D0%BC%D0%BF%D1%83%D0%BD%D1%8C" TargetMode="External"/><Relationship Id="rId134" Type="http://schemas.openxmlformats.org/officeDocument/2006/relationships/hyperlink" Target="https://www.ozon.ru/category/shampuni-bezsulfatnye/" TargetMode="External"/><Relationship Id="rId80" Type="http://schemas.openxmlformats.org/officeDocument/2006/relationships/hyperlink" Target="http://ozon.ru/" TargetMode="External"/><Relationship Id="rId155" Type="http://schemas.openxmlformats.org/officeDocument/2006/relationships/hyperlink" Target="http://ozon.ru/" TargetMode="External"/><Relationship Id="rId17" Type="http://schemas.openxmlformats.org/officeDocument/2006/relationships/hyperlink" Target="https://yabs.yandex.ru/count/WmGejI_zOoVX2Lco0hKN0FFjhhxMBZs54p1xmmJqff8ZQ4KGy2uHq55iGL3kD84-dykTFTllt7d3dQ_VyNh37MxKjfqbga90IqaXaeo2aApLEkfqEfsvqxwdkOedY2Ma4TQXeoDgTSX8HWWdVaUV9Qf2FzSGUOpRIgC7bw36YnOkSWk0QaYhEGJGPucg49BL10dxTaA1RDokIe6gGL2fbHf4fOP0LEDgH9KcsKeaP90WCWeQSNIrSKH3QmTCsMHHnqF1o8BIHt0p3R2100mwZdVFjny5DA4B2DEI1N0v44yLeEL0B5M0bWDnL05Q3iGx2j1o8CuMeEL0hAC0BGTYg0AqCRoqShuc32CXQQMZm9mklGGSzVSXx3zuwIz2j7HHFcIz1oxCbak4R01n2x-ckYuS863T05yMFJvrRZzh6KCqxEZJ2RLlgUryub5eVakXUNrFRNlwjAFIwVDvIwNs2XoiJpAs66HnKWYOxyQRewH61rp8pkSR9XklvqxPx3uGS0CuW0rS_8YMhHGhi18VOLeDEmPT06y9fpi1kFHKJLacJIeHh4OSe-zwZKuJIKpxCWJB62CDbwRPHg6XPCiKyPMemGEst5LrW400NprOhHQCGMUQz57kQxnW3e3mJb5mpj7FpyBMHAEA6KFb3ZWBEsYo2kMRAs0AvWIYP2bigI2Jn92REXRCfCKwnOZf69s6CLyWrFATEXB17G2T30PaNLo_fjxoplz62ZoSVjY0A90VtFoY_I_pgkjxcLTTd_kpKd-tAOlxMWnTkP_5q9LZcd_U4sRvvprXZdTTrtNQJ7yraUBL178bYzwRGAvaqLiVfSU5pj9rlkpzfigcFFa7-Ti2-Z7jmGa0OK8bwRyuNPwR5ul5vEXtl2z96rZ7Ne6zzazcxLJgVDPxtNl9MLAoHeHaquvePgvKAfL2Qp2As34wXYMRyeSHAS1BaHLcPn7y4ujNygctbCQBPB6tWX6L1LxogfmcdmbOT0eFFaO5SXbhSBQfS4QjWe9_UrBSwAAX4rPcd98M~2?etext=2202.U2Y9sRWod5Im4pK4Ue_dyHtxsB0SXtTNFjxh2dUnDY14hfd8AVWlP9DGB5gGlMD0cHpoc3dxbHBtdmxnbHBvcQ.ffcb415baf80421c83d33fbd432c154402dd5b9e&amp;from=yandex.ru%3Bsearch%26%23x2F%3B%3Bweb%3B%3B0%3B&amp;q=%D1%88%D0%B0%D0%BC%D0%BF%D1%83%D0%BD%D1%8C+%D0%BE%D1%82+%D0%BF%D0%B5%D1%80%D1%85%D0%BE%D1%82%D0%B8&amp;baobab_event_id=mmlzede6tn" TargetMode="External"/><Relationship Id="rId38" Type="http://schemas.openxmlformats.org/officeDocument/2006/relationships/hyperlink" Target="http://ozon.ru/" TargetMode="External"/><Relationship Id="rId59" Type="http://schemas.openxmlformats.org/officeDocument/2006/relationships/hyperlink" Target="https://yabs.yandex.ru/count/WmGejI_zOoVX2Lco0hKN0FFjhhxMBZs54p1xmmJqff8ZQ4KGy2uHq55iGL3kD84-dykTFTllt7d3dQ_VyNh37MxKjfqbga90IqaXaeo2aApLEkfqEfsvqxwdkOedY2Ma4TQXeoDgTSX8HWWdVaUV9Qf2FzSGUOpRIgC7bw36YnOkSWk0QaYhEGJGPucg49BL10dxTaA1RDokIe6gGL2fbHf4fOP0LEDgH9KcsKeaP90WCWeQSNIrSKH3QmTCsMHHnqF1o8BIHt0p3R2100mwZdVFjny5DA4B2DEI1N0v44yLeEL0B5M0bWDnL05Q3iGx2j1o8CuMeEL0hAC0BGTYg0AqCRoqShuc32CXQQMZm9mklGGSzVSXx3zuwIz2j7HHFcIz1oxCbak4R01n2x-ckYuS863T05yMFJvrRZzh6KCqxEZJ2RLlgUryub5eVakXUNrFRNlwjAFIwVDvIwNs2XoiJpAs66HnKWYOxyQRewH61rp8pkSR9XklvqxPx3uGS0CuW0rS_8YMhHGhi18VOLeDEmPT06y9fpi1kFHKJLacJIeHh4OSe-zwZKuJIKpxCWJB62CDbwRPHg6XPCiKyPMemGEst5LrW400NprOhHQCGMUQz57kQxnW3e3mJb5mpj7FpyBMHAEA6KFb3ZWBEsYo2kMRAs0AvWIYP2bigI2Jn92REXRCfCKwnOZf69s6CLyWrFATEXB17G2T30PaNLo_fjxoplz62ZoSVjY0A90VtFoY_I_pgkjxcLTTd_kpKd-tAOlxMWnTkP_5q9LZcd_U4sRvvprXZdTTrtNQJ7yraUBL178bYzwRGAvaqLiVfSU5pj9rlkpzfigcFFa7-Ti2-Z7jmGa0OK8bwRyuNPwR5ul5vEXtl2z96rZ7Ne6zzazcxLJgVDPxtNl9MLAoHeHaquvePgvKAfL2Qp2As34wXYMRyeSHAS1BaHLcPn7y4ujNygctbCQBPB6tWX6L1LxogfmcdmbOT0eFFaO5SXbhSBQfS4QjWe9_UrBSwAAX4rPcd98M~2?etext=2202.U2Y9sRWod5Im4pK4Ue_dyHtxsB0SXtTNFjxh2dUnDY14hfd8AVWlP9DGB5gGlMD0cHpoc3dxbHBtdmxnbHBvcQ.ffcb415baf80421c83d33fbd432c154402dd5b9e&amp;from=yandex.ru%3Bsearch%26%23x2F%3B%3Bweb%3B%3B0%3B&amp;q=%D1%88%D0%B0%D0%BC%D0%BF%D1%83%D0%BD%D1%8C+%D0%BE%D1%82+%D0%BF%D0%B5%D1%80%D1%85%D0%BE%D1%82%D0%B8&amp;baobab_event_id=mmlzede6tn" TargetMode="External"/><Relationship Id="rId103" Type="http://schemas.openxmlformats.org/officeDocument/2006/relationships/hyperlink" Target="https://goldapple.ru/" TargetMode="External"/><Relationship Id="rId124" Type="http://schemas.openxmlformats.org/officeDocument/2006/relationships/hyperlink" Target="https://apteka.ru/product/mirrolla-shampun-ot-perxoti-s-ketokonazolom-150-ml-5e3265d8ca7bdc000192b71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8"/>
  <sheetViews>
    <sheetView tabSelected="1" zoomScale="70" zoomScaleNormal="70" workbookViewId="0">
      <selection activeCell="B37" sqref="B3:R37"/>
    </sheetView>
  </sheetViews>
  <sheetFormatPr defaultColWidth="14.44140625" defaultRowHeight="14.4" x14ac:dyDescent="0.3"/>
  <cols>
    <col min="1" max="1" width="3" style="54" customWidth="1"/>
    <col min="2" max="2" width="30" style="54" customWidth="1"/>
    <col min="3" max="3" width="22" style="54" customWidth="1"/>
    <col min="4" max="4" width="35" style="54" customWidth="1"/>
    <col min="5" max="7" width="12" style="54" customWidth="1"/>
    <col min="8" max="26" width="8.6640625" style="54" customWidth="1"/>
  </cols>
  <sheetData>
    <row r="1" spans="2:18" s="54" customFormat="1" ht="11.4" customHeight="1" x14ac:dyDescent="0.3"/>
    <row r="2" spans="2:18" s="54" customFormat="1" ht="11.4" customHeight="1" x14ac:dyDescent="0.3"/>
    <row r="3" spans="2:18" s="54" customFormat="1" ht="30" x14ac:dyDescent="0.3">
      <c r="B3" s="87" t="s">
        <v>528</v>
      </c>
      <c r="C3" s="88"/>
      <c r="D3" s="88"/>
      <c r="E3" s="88"/>
      <c r="F3" s="88"/>
      <c r="G3" s="88"/>
    </row>
    <row r="4" spans="2:18" s="54" customFormat="1" x14ac:dyDescent="0.3">
      <c r="C4" s="62" t="s">
        <v>0</v>
      </c>
    </row>
    <row r="5" spans="2:18" s="54" customFormat="1" ht="15" thickBot="1" x14ac:dyDescent="0.35">
      <c r="F5" s="86"/>
      <c r="G5" s="86"/>
      <c r="H5" s="86"/>
      <c r="I5" s="86"/>
      <c r="J5" s="86"/>
      <c r="K5" s="86"/>
      <c r="L5" s="86"/>
      <c r="M5" s="86"/>
      <c r="N5" s="86"/>
      <c r="O5" s="86"/>
      <c r="P5" s="86"/>
    </row>
    <row r="6" spans="2:18" s="54" customFormat="1" ht="24.6" customHeight="1" x14ac:dyDescent="0.3">
      <c r="B6" s="1" t="s">
        <v>1</v>
      </c>
      <c r="F6" s="86"/>
      <c r="G6" s="89" t="s">
        <v>529</v>
      </c>
      <c r="H6" s="90"/>
      <c r="I6" s="90"/>
      <c r="J6" s="90"/>
      <c r="K6" s="90"/>
      <c r="L6" s="90"/>
      <c r="M6" s="90"/>
      <c r="N6" s="90"/>
      <c r="O6" s="90"/>
      <c r="P6" s="90"/>
      <c r="Q6" s="90"/>
      <c r="R6" s="91"/>
    </row>
    <row r="7" spans="2:18" s="54" customFormat="1" ht="11.4" customHeight="1" x14ac:dyDescent="0.3">
      <c r="F7" s="86"/>
      <c r="G7" s="92"/>
      <c r="H7" s="93"/>
      <c r="I7" s="93"/>
      <c r="J7" s="93"/>
      <c r="K7" s="93"/>
      <c r="L7" s="93"/>
      <c r="M7" s="93"/>
      <c r="N7" s="93"/>
      <c r="O7" s="93"/>
      <c r="P7" s="93"/>
      <c r="Q7" s="93"/>
      <c r="R7" s="94"/>
    </row>
    <row r="8" spans="2:18" s="54" customFormat="1" ht="11.4" customHeight="1" x14ac:dyDescent="0.3">
      <c r="B8" s="37" t="s">
        <v>2</v>
      </c>
      <c r="C8" s="37" t="s">
        <v>3</v>
      </c>
      <c r="D8" s="37" t="s">
        <v>4</v>
      </c>
      <c r="F8" s="86"/>
      <c r="G8" s="92"/>
      <c r="H8" s="93"/>
      <c r="I8" s="93"/>
      <c r="J8" s="93"/>
      <c r="K8" s="93"/>
      <c r="L8" s="93"/>
      <c r="M8" s="93"/>
      <c r="N8" s="93"/>
      <c r="O8" s="93"/>
      <c r="P8" s="93"/>
      <c r="Q8" s="93"/>
      <c r="R8" s="94"/>
    </row>
    <row r="9" spans="2:18" s="54" customFormat="1" ht="11.4" customHeight="1" x14ac:dyDescent="0.3">
      <c r="B9" s="41" t="s">
        <v>5</v>
      </c>
      <c r="C9" s="2">
        <f>Метрики_Итог!C6</f>
        <v>13198468.739984231</v>
      </c>
      <c r="D9" s="3" t="s">
        <v>6</v>
      </c>
      <c r="F9" s="86"/>
      <c r="G9" s="92"/>
      <c r="H9" s="93"/>
      <c r="I9" s="93"/>
      <c r="J9" s="93"/>
      <c r="K9" s="93"/>
      <c r="L9" s="93"/>
      <c r="M9" s="93"/>
      <c r="N9" s="93"/>
      <c r="O9" s="93"/>
      <c r="P9" s="93"/>
      <c r="Q9" s="93"/>
      <c r="R9" s="94"/>
    </row>
    <row r="10" spans="2:18" s="54" customFormat="1" ht="11.4" customHeight="1" x14ac:dyDescent="0.3">
      <c r="B10" s="41" t="s">
        <v>7</v>
      </c>
      <c r="C10" s="4">
        <f>Метрики_Итог!C7</f>
        <v>0.56610800816843221</v>
      </c>
      <c r="D10" s="3" t="s">
        <v>8</v>
      </c>
      <c r="F10" s="86"/>
      <c r="G10" s="92"/>
      <c r="H10" s="93"/>
      <c r="I10" s="93"/>
      <c r="J10" s="93"/>
      <c r="K10" s="93"/>
      <c r="L10" s="93"/>
      <c r="M10" s="93"/>
      <c r="N10" s="93"/>
      <c r="O10" s="93"/>
      <c r="P10" s="93"/>
      <c r="Q10" s="93"/>
      <c r="R10" s="94"/>
    </row>
    <row r="11" spans="2:18" s="54" customFormat="1" ht="11.4" customHeight="1" x14ac:dyDescent="0.3">
      <c r="B11" s="41" t="s">
        <v>9</v>
      </c>
      <c r="C11" s="5">
        <f>Метрики_Итог!C8</f>
        <v>1.150591359296828</v>
      </c>
      <c r="D11" s="3" t="s">
        <v>10</v>
      </c>
      <c r="F11" s="86"/>
      <c r="G11" s="92"/>
      <c r="H11" s="93"/>
      <c r="I11" s="93"/>
      <c r="J11" s="93"/>
      <c r="K11" s="93"/>
      <c r="L11" s="93"/>
      <c r="M11" s="93"/>
      <c r="N11" s="93"/>
      <c r="O11" s="93"/>
      <c r="P11" s="93"/>
      <c r="Q11" s="93"/>
      <c r="R11" s="94"/>
    </row>
    <row r="12" spans="2:18" s="54" customFormat="1" ht="11.4" customHeight="1" x14ac:dyDescent="0.3">
      <c r="B12" s="41" t="s">
        <v>11</v>
      </c>
      <c r="C12" s="6">
        <f>Метрики_Итог!C9</f>
        <v>3</v>
      </c>
      <c r="D12" s="3" t="s">
        <v>12</v>
      </c>
      <c r="F12" s="86"/>
      <c r="G12" s="92"/>
      <c r="H12" s="93"/>
      <c r="I12" s="93"/>
      <c r="J12" s="93"/>
      <c r="K12" s="93"/>
      <c r="L12" s="93"/>
      <c r="M12" s="93"/>
      <c r="N12" s="93"/>
      <c r="O12" s="93"/>
      <c r="P12" s="93"/>
      <c r="Q12" s="93"/>
      <c r="R12" s="94"/>
    </row>
    <row r="13" spans="2:18" s="54" customFormat="1" ht="11.4" customHeight="1" x14ac:dyDescent="0.3">
      <c r="B13" s="41" t="s">
        <v>13</v>
      </c>
      <c r="C13" s="7">
        <f>Метрики_Итог!C11</f>
        <v>5.068243624791541</v>
      </c>
      <c r="D13" s="3" t="s">
        <v>14</v>
      </c>
      <c r="F13" s="86"/>
      <c r="G13" s="92"/>
      <c r="H13" s="93"/>
      <c r="I13" s="93"/>
      <c r="J13" s="93"/>
      <c r="K13" s="93"/>
      <c r="L13" s="93"/>
      <c r="M13" s="93"/>
      <c r="N13" s="93"/>
      <c r="O13" s="93"/>
      <c r="P13" s="93"/>
      <c r="Q13" s="93"/>
      <c r="R13" s="94"/>
    </row>
    <row r="14" spans="2:18" s="54" customFormat="1" ht="11.4" customHeight="1" x14ac:dyDescent="0.3">
      <c r="F14" s="86"/>
      <c r="G14" s="92"/>
      <c r="H14" s="93"/>
      <c r="I14" s="93"/>
      <c r="J14" s="93"/>
      <c r="K14" s="93"/>
      <c r="L14" s="93"/>
      <c r="M14" s="93"/>
      <c r="N14" s="93"/>
      <c r="O14" s="93"/>
      <c r="P14" s="93"/>
      <c r="Q14" s="93"/>
      <c r="R14" s="94"/>
    </row>
    <row r="15" spans="2:18" s="54" customFormat="1" ht="11.4" customHeight="1" x14ac:dyDescent="0.3">
      <c r="F15" s="86"/>
      <c r="G15" s="92"/>
      <c r="H15" s="93"/>
      <c r="I15" s="93"/>
      <c r="J15" s="93"/>
      <c r="K15" s="93"/>
      <c r="L15" s="93"/>
      <c r="M15" s="93"/>
      <c r="N15" s="93"/>
      <c r="O15" s="93"/>
      <c r="P15" s="93"/>
      <c r="Q15" s="93"/>
      <c r="R15" s="94"/>
    </row>
    <row r="16" spans="2:18" s="54" customFormat="1" ht="11.4" customHeight="1" x14ac:dyDescent="0.3">
      <c r="B16" s="1" t="s">
        <v>15</v>
      </c>
      <c r="F16" s="86"/>
      <c r="G16" s="92"/>
      <c r="H16" s="93"/>
      <c r="I16" s="93"/>
      <c r="J16" s="93"/>
      <c r="K16" s="93"/>
      <c r="L16" s="93"/>
      <c r="M16" s="93"/>
      <c r="N16" s="93"/>
      <c r="O16" s="93"/>
      <c r="P16" s="93"/>
      <c r="Q16" s="93"/>
      <c r="R16" s="94"/>
    </row>
    <row r="17" spans="2:18" s="54" customFormat="1" ht="11.4" customHeight="1" x14ac:dyDescent="0.3">
      <c r="F17" s="86"/>
      <c r="G17" s="92"/>
      <c r="H17" s="93"/>
      <c r="I17" s="93"/>
      <c r="J17" s="93"/>
      <c r="K17" s="93"/>
      <c r="L17" s="93"/>
      <c r="M17" s="93"/>
      <c r="N17" s="93"/>
      <c r="O17" s="93"/>
      <c r="P17" s="93"/>
      <c r="Q17" s="93"/>
      <c r="R17" s="94"/>
    </row>
    <row r="18" spans="2:18" s="54" customFormat="1" ht="11.4" customHeight="1" x14ac:dyDescent="0.3">
      <c r="B18" s="37" t="s">
        <v>16</v>
      </c>
      <c r="C18" s="37" t="s">
        <v>17</v>
      </c>
      <c r="F18" s="86"/>
      <c r="G18" s="92"/>
      <c r="H18" s="93"/>
      <c r="I18" s="93"/>
      <c r="J18" s="93"/>
      <c r="K18" s="93"/>
      <c r="L18" s="93"/>
      <c r="M18" s="93"/>
      <c r="N18" s="93"/>
      <c r="O18" s="93"/>
      <c r="P18" s="93"/>
      <c r="Q18" s="93"/>
      <c r="R18" s="94"/>
    </row>
    <row r="19" spans="2:18" s="54" customFormat="1" ht="26.4" x14ac:dyDescent="0.3">
      <c r="B19" s="8" t="s">
        <v>18</v>
      </c>
      <c r="C19" s="9" t="s">
        <v>19</v>
      </c>
      <c r="F19" s="86"/>
      <c r="G19" s="92"/>
      <c r="H19" s="93"/>
      <c r="I19" s="93"/>
      <c r="J19" s="93"/>
      <c r="K19" s="93"/>
      <c r="L19" s="93"/>
      <c r="M19" s="93"/>
      <c r="N19" s="93"/>
      <c r="O19" s="93"/>
      <c r="P19" s="93"/>
      <c r="Q19" s="93"/>
      <c r="R19" s="94"/>
    </row>
    <row r="20" spans="2:18" s="54" customFormat="1" ht="40.200000000000003" thickBot="1" x14ac:dyDescent="0.35">
      <c r="B20" s="8" t="s">
        <v>20</v>
      </c>
      <c r="C20" s="9" t="s">
        <v>21</v>
      </c>
      <c r="F20" s="86"/>
      <c r="G20" s="95"/>
      <c r="H20" s="96"/>
      <c r="I20" s="96"/>
      <c r="J20" s="96"/>
      <c r="K20" s="96"/>
      <c r="L20" s="96"/>
      <c r="M20" s="96"/>
      <c r="N20" s="96"/>
      <c r="O20" s="96"/>
      <c r="P20" s="96"/>
      <c r="Q20" s="96"/>
      <c r="R20" s="97"/>
    </row>
    <row r="21" spans="2:18" s="54" customFormat="1" ht="26.4" x14ac:dyDescent="0.3">
      <c r="B21" s="8" t="s">
        <v>22</v>
      </c>
      <c r="C21" s="9" t="s">
        <v>23</v>
      </c>
    </row>
    <row r="22" spans="2:18" s="54" customFormat="1" ht="26.4" x14ac:dyDescent="0.3">
      <c r="B22" s="8" t="s">
        <v>24</v>
      </c>
      <c r="C22" s="9" t="s">
        <v>25</v>
      </c>
    </row>
    <row r="23" spans="2:18" s="54" customFormat="1" ht="26.4" x14ac:dyDescent="0.3">
      <c r="B23" s="8" t="s">
        <v>26</v>
      </c>
      <c r="C23" s="9" t="s">
        <v>27</v>
      </c>
    </row>
    <row r="24" spans="2:18" s="54" customFormat="1" ht="11.4" customHeight="1" x14ac:dyDescent="0.3"/>
    <row r="25" spans="2:18" s="54" customFormat="1" x14ac:dyDescent="0.3"/>
    <row r="26" spans="2:18" s="54" customFormat="1" ht="15.6" x14ac:dyDescent="0.3">
      <c r="B26" s="10" t="s">
        <v>28</v>
      </c>
    </row>
    <row r="27" spans="2:18" s="54" customFormat="1" x14ac:dyDescent="0.3"/>
    <row r="28" spans="2:18" s="54" customFormat="1" x14ac:dyDescent="0.3">
      <c r="B28" s="55" t="s">
        <v>29</v>
      </c>
    </row>
    <row r="29" spans="2:18" s="54" customFormat="1" x14ac:dyDescent="0.3">
      <c r="B29" s="55" t="e">
        <f>"• Ставка дисконтирования (WACC): "&amp;TEXT(Допущения!C7,"0.0%")</f>
        <v>#VALUE!</v>
      </c>
    </row>
    <row r="30" spans="2:18" s="54" customFormat="1" ht="16.05" customHeight="1" x14ac:dyDescent="0.3">
      <c r="B30" s="55" t="str">
        <f>"• Налог на прибыль: "&amp;TEXT(Допущения!C8,"0%")</f>
        <v>• Налог на прибыль: 25%</v>
      </c>
    </row>
    <row r="31" spans="2:18" s="54" customFormat="1" ht="16.05" customHeight="1" x14ac:dyDescent="0.3">
      <c r="B31" s="55" t="e">
        <f>"• Курс USD/RUB: "&amp;TEXT(Допущения!C6,"0.00")&amp;" руб."</f>
        <v>#VALUE!</v>
      </c>
    </row>
    <row r="32" spans="2:18" s="54" customFormat="1" ht="16.05" customHeight="1" x14ac:dyDescent="0.3">
      <c r="B32" s="55" t="str">
        <f>"• Ramp-up эффекта: "&amp;TEXT(Допущения!C43,"0%")&amp;" → "&amp;TEXT(Допущения!G43,"0%")</f>
        <v>• Ramp-up эффекта: 50% → 100%</v>
      </c>
    </row>
    <row r="33" spans="2:2" s="54" customFormat="1" ht="16.05" customHeight="1" x14ac:dyDescent="0.3">
      <c r="B33" s="55" t="s">
        <v>30</v>
      </c>
    </row>
    <row r="34" spans="2:2" s="54" customFormat="1" ht="16.05" customHeight="1" x14ac:dyDescent="0.3">
      <c r="B34" s="55" t="s">
        <v>31</v>
      </c>
    </row>
    <row r="35" spans="2:2" s="54" customFormat="1" ht="16.05" customHeight="1" x14ac:dyDescent="0.3">
      <c r="B35" s="55" t="s">
        <v>32</v>
      </c>
    </row>
    <row r="36" spans="2:2" s="54" customFormat="1" ht="16.05" customHeight="1" x14ac:dyDescent="0.3">
      <c r="B36" s="55" t="s">
        <v>33</v>
      </c>
    </row>
    <row r="37" spans="2:2" s="54" customFormat="1" ht="11.4" customHeight="1" x14ac:dyDescent="0.3"/>
    <row r="38" spans="2:2" s="54" customFormat="1" ht="11.4" customHeight="1" x14ac:dyDescent="0.3"/>
    <row r="39" spans="2:2" s="54" customFormat="1" ht="11.4" customHeight="1" x14ac:dyDescent="0.3"/>
    <row r="40" spans="2:2" s="54" customFormat="1" ht="11.4" customHeight="1" x14ac:dyDescent="0.3"/>
    <row r="41" spans="2:2" s="54" customFormat="1" ht="11.4" customHeight="1" x14ac:dyDescent="0.3"/>
    <row r="42" spans="2:2" s="54" customFormat="1" ht="11.4" customHeight="1" x14ac:dyDescent="0.3"/>
    <row r="43" spans="2:2" s="54" customFormat="1" ht="11.4" customHeight="1" x14ac:dyDescent="0.3"/>
    <row r="44" spans="2:2" s="54" customFormat="1" ht="11.4" customHeight="1" x14ac:dyDescent="0.3"/>
    <row r="45" spans="2:2" s="54" customFormat="1" ht="11.4" customHeight="1" x14ac:dyDescent="0.3"/>
    <row r="46" spans="2:2" s="54" customFormat="1" ht="11.4" customHeight="1" x14ac:dyDescent="0.3"/>
    <row r="47" spans="2:2" s="54" customFormat="1" ht="11.4" customHeight="1" x14ac:dyDescent="0.3"/>
    <row r="48" spans="2:2" s="54" customFormat="1" ht="11.4" customHeight="1" x14ac:dyDescent="0.3"/>
    <row r="49" s="54" customFormat="1" ht="11.4" customHeight="1" x14ac:dyDescent="0.3"/>
    <row r="50" s="54" customFormat="1" ht="11.4" customHeight="1" x14ac:dyDescent="0.3"/>
    <row r="51" s="54" customFormat="1" ht="11.4" customHeight="1" x14ac:dyDescent="0.3"/>
    <row r="52" s="54" customFormat="1" ht="11.4" customHeight="1" x14ac:dyDescent="0.3"/>
    <row r="53" s="54" customFormat="1" ht="11.4" customHeight="1" x14ac:dyDescent="0.3"/>
    <row r="54" s="54" customFormat="1" ht="11.4" customHeight="1" x14ac:dyDescent="0.3"/>
    <row r="55" s="54" customFormat="1" ht="11.4" customHeight="1" x14ac:dyDescent="0.3"/>
    <row r="56" s="54" customFormat="1" ht="11.4" customHeight="1" x14ac:dyDescent="0.3"/>
    <row r="57" s="54" customFormat="1" ht="11.4" customHeight="1" x14ac:dyDescent="0.3"/>
    <row r="58" s="54" customFormat="1" ht="11.4" customHeight="1" x14ac:dyDescent="0.3"/>
    <row r="59" s="54" customFormat="1" ht="11.4" customHeight="1" x14ac:dyDescent="0.3"/>
    <row r="60" s="54" customFormat="1" ht="11.4" customHeight="1" x14ac:dyDescent="0.3"/>
    <row r="61" s="54" customFormat="1" ht="11.4" customHeight="1" x14ac:dyDescent="0.3"/>
    <row r="62" s="54" customFormat="1" ht="11.4" customHeight="1" x14ac:dyDescent="0.3"/>
    <row r="63" s="54" customFormat="1" ht="11.4" customHeight="1" x14ac:dyDescent="0.3"/>
    <row r="64" s="54" customFormat="1" ht="11.4" customHeight="1" x14ac:dyDescent="0.3"/>
    <row r="65" s="54" customFormat="1" ht="11.4" customHeight="1" x14ac:dyDescent="0.3"/>
    <row r="66" s="54" customFormat="1" ht="11.4" customHeight="1" x14ac:dyDescent="0.3"/>
    <row r="67" s="54" customFormat="1" ht="11.4" customHeight="1" x14ac:dyDescent="0.3"/>
    <row r="68" s="54" customFormat="1" ht="11.4" customHeight="1" x14ac:dyDescent="0.3"/>
    <row r="69" s="54" customFormat="1" ht="11.4" customHeight="1" x14ac:dyDescent="0.3"/>
    <row r="70" s="54" customFormat="1" ht="11.4" customHeight="1" x14ac:dyDescent="0.3"/>
    <row r="71" s="54" customFormat="1" ht="11.4" customHeight="1" x14ac:dyDescent="0.3"/>
    <row r="72" s="54" customFormat="1" ht="11.4" customHeight="1" x14ac:dyDescent="0.3"/>
    <row r="73" s="54" customFormat="1" ht="11.4" customHeight="1" x14ac:dyDescent="0.3"/>
    <row r="74" s="54" customFormat="1" ht="11.4" customHeight="1" x14ac:dyDescent="0.3"/>
    <row r="75" s="54" customFormat="1" ht="11.4" customHeight="1" x14ac:dyDescent="0.3"/>
    <row r="76" s="54" customFormat="1" ht="11.4" customHeight="1" x14ac:dyDescent="0.3"/>
    <row r="77" s="54" customFormat="1" ht="11.4" customHeight="1" x14ac:dyDescent="0.3"/>
    <row r="78" s="54" customFormat="1" ht="11.4" customHeight="1" x14ac:dyDescent="0.3"/>
    <row r="79" s="54" customFormat="1" ht="11.4" customHeight="1" x14ac:dyDescent="0.3"/>
    <row r="80" s="54" customFormat="1" ht="11.4" customHeight="1" x14ac:dyDescent="0.3"/>
    <row r="81" s="54" customFormat="1" ht="11.4" customHeight="1" x14ac:dyDescent="0.3"/>
    <row r="82" s="54" customFormat="1" ht="11.4" customHeight="1" x14ac:dyDescent="0.3"/>
    <row r="83" s="54" customFormat="1" ht="11.4" customHeight="1" x14ac:dyDescent="0.3"/>
    <row r="84" s="54" customFormat="1" ht="11.4" customHeight="1" x14ac:dyDescent="0.3"/>
    <row r="85" s="54" customFormat="1" ht="11.4" customHeight="1" x14ac:dyDescent="0.3"/>
    <row r="86" s="54" customFormat="1" ht="11.4" customHeight="1" x14ac:dyDescent="0.3"/>
    <row r="87" s="54" customFormat="1" ht="11.4" customHeight="1" x14ac:dyDescent="0.3"/>
    <row r="88" s="54" customFormat="1" ht="11.4" customHeight="1" x14ac:dyDescent="0.3"/>
    <row r="89" s="54" customFormat="1" ht="11.4" customHeight="1" x14ac:dyDescent="0.3"/>
    <row r="90" s="54" customFormat="1" ht="11.4" customHeight="1" x14ac:dyDescent="0.3"/>
    <row r="91" s="54" customFormat="1" ht="11.4" customHeight="1" x14ac:dyDescent="0.3"/>
    <row r="92" s="54" customFormat="1" ht="11.4" customHeight="1" x14ac:dyDescent="0.3"/>
    <row r="93" s="54" customFormat="1" ht="11.4" customHeight="1" x14ac:dyDescent="0.3"/>
    <row r="94" s="54" customFormat="1" ht="11.4" customHeight="1" x14ac:dyDescent="0.3"/>
    <row r="95" s="54" customFormat="1" ht="11.4" customHeight="1" x14ac:dyDescent="0.3"/>
    <row r="96" s="54" customFormat="1" ht="11.4" customHeight="1" x14ac:dyDescent="0.3"/>
    <row r="97" s="54" customFormat="1" ht="11.4" customHeight="1" x14ac:dyDescent="0.3"/>
    <row r="98" s="54" customFormat="1" ht="11.4" customHeight="1" x14ac:dyDescent="0.3"/>
    <row r="99" s="54" customFormat="1" ht="11.4" customHeight="1" x14ac:dyDescent="0.3"/>
    <row r="100" s="54" customFormat="1" ht="11.4" customHeight="1" x14ac:dyDescent="0.3"/>
    <row r="101" s="54" customFormat="1" ht="11.4" customHeight="1" x14ac:dyDescent="0.3"/>
    <row r="102" s="54" customFormat="1" ht="11.4" customHeight="1" x14ac:dyDescent="0.3"/>
    <row r="103" s="54" customFormat="1" ht="11.4" customHeight="1" x14ac:dyDescent="0.3"/>
    <row r="104" s="54" customFormat="1" ht="11.4" customHeight="1" x14ac:dyDescent="0.3"/>
    <row r="105" s="54" customFormat="1" ht="11.4" customHeight="1" x14ac:dyDescent="0.3"/>
    <row r="106" s="54" customFormat="1" ht="11.4" customHeight="1" x14ac:dyDescent="0.3"/>
    <row r="107" s="54" customFormat="1" ht="11.4" customHeight="1" x14ac:dyDescent="0.3"/>
    <row r="108" s="54" customFormat="1" ht="11.4" customHeight="1" x14ac:dyDescent="0.3"/>
    <row r="109" s="54" customFormat="1" ht="11.4" customHeight="1" x14ac:dyDescent="0.3"/>
    <row r="110" s="54" customFormat="1" ht="11.4" customHeight="1" x14ac:dyDescent="0.3"/>
    <row r="111" s="54" customFormat="1" ht="11.4" customHeight="1" x14ac:dyDescent="0.3"/>
    <row r="112" s="54" customFormat="1" ht="11.4" customHeight="1" x14ac:dyDescent="0.3"/>
    <row r="113" s="54" customFormat="1" ht="11.4" customHeight="1" x14ac:dyDescent="0.3"/>
    <row r="114" s="54" customFormat="1" ht="11.4" customHeight="1" x14ac:dyDescent="0.3"/>
    <row r="115" s="54" customFormat="1" ht="11.4" customHeight="1" x14ac:dyDescent="0.3"/>
    <row r="116" s="54" customFormat="1" ht="11.4" customHeight="1" x14ac:dyDescent="0.3"/>
    <row r="117" s="54" customFormat="1" ht="11.4" customHeight="1" x14ac:dyDescent="0.3"/>
    <row r="118" s="54" customFormat="1" ht="11.4" customHeight="1" x14ac:dyDescent="0.3"/>
    <row r="119" s="54" customFormat="1" ht="11.4" customHeight="1" x14ac:dyDescent="0.3"/>
    <row r="120" s="54" customFormat="1" ht="11.4" customHeight="1" x14ac:dyDescent="0.3"/>
    <row r="121" s="54" customFormat="1" ht="11.4" customHeight="1" x14ac:dyDescent="0.3"/>
    <row r="122" s="54" customFormat="1" ht="11.4" customHeight="1" x14ac:dyDescent="0.3"/>
    <row r="123" s="54" customFormat="1" ht="11.4" customHeight="1" x14ac:dyDescent="0.3"/>
    <row r="124" s="54" customFormat="1" ht="11.4" customHeight="1" x14ac:dyDescent="0.3"/>
    <row r="125" s="54" customFormat="1" ht="11.4" customHeight="1" x14ac:dyDescent="0.3"/>
    <row r="126" s="54" customFormat="1" ht="11.4" customHeight="1" x14ac:dyDescent="0.3"/>
    <row r="127" s="54" customFormat="1" ht="11.4" customHeight="1" x14ac:dyDescent="0.3"/>
    <row r="128" s="54" customFormat="1" ht="11.4" customHeight="1" x14ac:dyDescent="0.3"/>
    <row r="129" s="54" customFormat="1" ht="11.4" customHeight="1" x14ac:dyDescent="0.3"/>
    <row r="130" s="54" customFormat="1" ht="11.4" customHeight="1" x14ac:dyDescent="0.3"/>
    <row r="131" s="54" customFormat="1" ht="11.4" customHeight="1" x14ac:dyDescent="0.3"/>
    <row r="132" s="54" customFormat="1" ht="11.4" customHeight="1" x14ac:dyDescent="0.3"/>
    <row r="133" s="54" customFormat="1" ht="11.4" customHeight="1" x14ac:dyDescent="0.3"/>
    <row r="134" s="54" customFormat="1" ht="11.4" customHeight="1" x14ac:dyDescent="0.3"/>
    <row r="135" s="54" customFormat="1" ht="11.4" customHeight="1" x14ac:dyDescent="0.3"/>
    <row r="136" s="54" customFormat="1" ht="11.4" customHeight="1" x14ac:dyDescent="0.3"/>
    <row r="137" s="54" customFormat="1" ht="11.4" customHeight="1" x14ac:dyDescent="0.3"/>
    <row r="138" s="54" customFormat="1" ht="11.4" customHeight="1" x14ac:dyDescent="0.3"/>
    <row r="139" s="54" customFormat="1" ht="11.4" customHeight="1" x14ac:dyDescent="0.3"/>
    <row r="140" s="54" customFormat="1" ht="11.4" customHeight="1" x14ac:dyDescent="0.3"/>
    <row r="141" s="54" customFormat="1" ht="11.4" customHeight="1" x14ac:dyDescent="0.3"/>
    <row r="142" s="54" customFormat="1" ht="11.4" customHeight="1" x14ac:dyDescent="0.3"/>
    <row r="143" s="54" customFormat="1" ht="11.4" customHeight="1" x14ac:dyDescent="0.3"/>
    <row r="144" s="54" customFormat="1" ht="11.4" customHeight="1" x14ac:dyDescent="0.3"/>
    <row r="145" s="54" customFormat="1" ht="11.4" customHeight="1" x14ac:dyDescent="0.3"/>
    <row r="146" s="54" customFormat="1" ht="11.4" customHeight="1" x14ac:dyDescent="0.3"/>
    <row r="147" s="54" customFormat="1" ht="11.4" customHeight="1" x14ac:dyDescent="0.3"/>
    <row r="148" s="54" customFormat="1" ht="11.4" customHeight="1" x14ac:dyDescent="0.3"/>
    <row r="149" s="54" customFormat="1" ht="11.4" customHeight="1" x14ac:dyDescent="0.3"/>
    <row r="150" s="54" customFormat="1" ht="11.4" customHeight="1" x14ac:dyDescent="0.3"/>
    <row r="151" s="54" customFormat="1" ht="11.4" customHeight="1" x14ac:dyDescent="0.3"/>
    <row r="152" s="54" customFormat="1" ht="11.4" customHeight="1" x14ac:dyDescent="0.3"/>
    <row r="153" s="54" customFormat="1" ht="11.4" customHeight="1" x14ac:dyDescent="0.3"/>
    <row r="154" s="54" customFormat="1" ht="11.4" customHeight="1" x14ac:dyDescent="0.3"/>
    <row r="155" s="54" customFormat="1" ht="11.4" customHeight="1" x14ac:dyDescent="0.3"/>
    <row r="156" s="54" customFormat="1" ht="11.4" customHeight="1" x14ac:dyDescent="0.3"/>
    <row r="157" s="54" customFormat="1" ht="11.4" customHeight="1" x14ac:dyDescent="0.3"/>
    <row r="158" s="54" customFormat="1" ht="11.4" customHeight="1" x14ac:dyDescent="0.3"/>
    <row r="159" s="54" customFormat="1" ht="11.4" customHeight="1" x14ac:dyDescent="0.3"/>
    <row r="160" s="54" customFormat="1" ht="11.4" customHeight="1" x14ac:dyDescent="0.3"/>
    <row r="161" s="54" customFormat="1" ht="11.4" customHeight="1" x14ac:dyDescent="0.3"/>
    <row r="162" s="54" customFormat="1" ht="11.4" customHeight="1" x14ac:dyDescent="0.3"/>
    <row r="163" s="54" customFormat="1" ht="11.4" customHeight="1" x14ac:dyDescent="0.3"/>
    <row r="164" s="54" customFormat="1" ht="11.4" customHeight="1" x14ac:dyDescent="0.3"/>
    <row r="165" s="54" customFormat="1" ht="11.4" customHeight="1" x14ac:dyDescent="0.3"/>
    <row r="166" s="54" customFormat="1" ht="11.4" customHeight="1" x14ac:dyDescent="0.3"/>
    <row r="167" s="54" customFormat="1" ht="11.4" customHeight="1" x14ac:dyDescent="0.3"/>
    <row r="168" s="54" customFormat="1" ht="11.4" customHeight="1" x14ac:dyDescent="0.3"/>
    <row r="169" s="54" customFormat="1" ht="11.4" customHeight="1" x14ac:dyDescent="0.3"/>
    <row r="170" s="54" customFormat="1" ht="11.4" customHeight="1" x14ac:dyDescent="0.3"/>
    <row r="171" s="54" customFormat="1" ht="11.4" customHeight="1" x14ac:dyDescent="0.3"/>
    <row r="172" s="54" customFormat="1" ht="11.4" customHeight="1" x14ac:dyDescent="0.3"/>
    <row r="173" s="54" customFormat="1" ht="11.4" customHeight="1" x14ac:dyDescent="0.3"/>
    <row r="174" s="54" customFormat="1" ht="11.4" customHeight="1" x14ac:dyDescent="0.3"/>
    <row r="175" s="54" customFormat="1" ht="11.4" customHeight="1" x14ac:dyDescent="0.3"/>
    <row r="176" s="54" customFormat="1" ht="11.4" customHeight="1" x14ac:dyDescent="0.3"/>
    <row r="177" s="54" customFormat="1" ht="11.4" customHeight="1" x14ac:dyDescent="0.3"/>
    <row r="178" s="54" customFormat="1" ht="11.4" customHeight="1" x14ac:dyDescent="0.3"/>
    <row r="179" s="54" customFormat="1" ht="11.4" customHeight="1" x14ac:dyDescent="0.3"/>
    <row r="180" s="54" customFormat="1" ht="11.4" customHeight="1" x14ac:dyDescent="0.3"/>
    <row r="181" s="54" customFormat="1" ht="11.4" customHeight="1" x14ac:dyDescent="0.3"/>
    <row r="182" s="54" customFormat="1" ht="11.4" customHeight="1" x14ac:dyDescent="0.3"/>
    <row r="183" s="54" customFormat="1" ht="11.4" customHeight="1" x14ac:dyDescent="0.3"/>
    <row r="184" s="54" customFormat="1" ht="11.4" customHeight="1" x14ac:dyDescent="0.3"/>
    <row r="185" s="54" customFormat="1" ht="11.4" customHeight="1" x14ac:dyDescent="0.3"/>
    <row r="186" s="54" customFormat="1" ht="11.4" customHeight="1" x14ac:dyDescent="0.3"/>
    <row r="187" s="54" customFormat="1" ht="11.4" customHeight="1" x14ac:dyDescent="0.3"/>
    <row r="188" s="54" customFormat="1" ht="11.4" customHeight="1" x14ac:dyDescent="0.3"/>
    <row r="189" s="54" customFormat="1" ht="11.4" customHeight="1" x14ac:dyDescent="0.3"/>
    <row r="190" s="54" customFormat="1" ht="11.4" customHeight="1" x14ac:dyDescent="0.3"/>
    <row r="191" s="54" customFormat="1" ht="11.4" customHeight="1" x14ac:dyDescent="0.3"/>
    <row r="192" s="54" customFormat="1" ht="11.4" customHeight="1" x14ac:dyDescent="0.3"/>
    <row r="193" s="54" customFormat="1" ht="11.4" customHeight="1" x14ac:dyDescent="0.3"/>
    <row r="194" s="54" customFormat="1" ht="11.4" customHeight="1" x14ac:dyDescent="0.3"/>
    <row r="195" s="54" customFormat="1" ht="11.4" customHeight="1" x14ac:dyDescent="0.3"/>
    <row r="196" s="54" customFormat="1" ht="11.4" customHeight="1" x14ac:dyDescent="0.3"/>
    <row r="197" s="54" customFormat="1" ht="11.4" customHeight="1" x14ac:dyDescent="0.3"/>
    <row r="198" s="54" customFormat="1" ht="11.4" customHeight="1" x14ac:dyDescent="0.3"/>
    <row r="199" s="54" customFormat="1" ht="11.4" customHeight="1" x14ac:dyDescent="0.3"/>
    <row r="200" s="54" customFormat="1" ht="11.4" customHeight="1" x14ac:dyDescent="0.3"/>
    <row r="201" s="54" customFormat="1" ht="11.4" customHeight="1" x14ac:dyDescent="0.3"/>
    <row r="202" s="54" customFormat="1" ht="11.4" customHeight="1" x14ac:dyDescent="0.3"/>
    <row r="203" s="54" customFormat="1" ht="11.4" customHeight="1" x14ac:dyDescent="0.3"/>
    <row r="204" s="54" customFormat="1" ht="11.4" customHeight="1" x14ac:dyDescent="0.3"/>
    <row r="205" s="54" customFormat="1" ht="11.4" customHeight="1" x14ac:dyDescent="0.3"/>
    <row r="206" s="54" customFormat="1" ht="11.4" customHeight="1" x14ac:dyDescent="0.3"/>
    <row r="207" s="54" customFormat="1" ht="11.4" customHeight="1" x14ac:dyDescent="0.3"/>
    <row r="208" s="54" customFormat="1" ht="11.4" customHeight="1" x14ac:dyDescent="0.3"/>
    <row r="209" s="54" customFormat="1" ht="11.4" customHeight="1" x14ac:dyDescent="0.3"/>
    <row r="210" s="54" customFormat="1" ht="11.4" customHeight="1" x14ac:dyDescent="0.3"/>
    <row r="211" s="54" customFormat="1" ht="11.4" customHeight="1" x14ac:dyDescent="0.3"/>
    <row r="212" s="54" customFormat="1" ht="11.4" customHeight="1" x14ac:dyDescent="0.3"/>
    <row r="213" s="54" customFormat="1" ht="11.4" customHeight="1" x14ac:dyDescent="0.3"/>
    <row r="214" s="54" customFormat="1" ht="11.4" customHeight="1" x14ac:dyDescent="0.3"/>
    <row r="215" s="54" customFormat="1" ht="11.4" customHeight="1" x14ac:dyDescent="0.3"/>
    <row r="216" s="54" customFormat="1" ht="11.4" customHeight="1" x14ac:dyDescent="0.3"/>
    <row r="217" s="54" customFormat="1" ht="11.4" customHeight="1" x14ac:dyDescent="0.3"/>
    <row r="218" s="54" customFormat="1" ht="11.4" customHeight="1" x14ac:dyDescent="0.3"/>
    <row r="219" s="54" customFormat="1" ht="11.4" customHeight="1" x14ac:dyDescent="0.3"/>
    <row r="220" s="54" customFormat="1" ht="11.4" customHeight="1" x14ac:dyDescent="0.3"/>
    <row r="221" s="54" customFormat="1" ht="11.4" customHeight="1" x14ac:dyDescent="0.3"/>
    <row r="222" s="54" customFormat="1" ht="11.4" customHeight="1" x14ac:dyDescent="0.3"/>
    <row r="223" s="54" customFormat="1" ht="11.4" customHeight="1" x14ac:dyDescent="0.3"/>
    <row r="224" s="54" customFormat="1" ht="11.4" customHeight="1" x14ac:dyDescent="0.3"/>
    <row r="225" s="54" customFormat="1" ht="11.4" customHeight="1" x14ac:dyDescent="0.3"/>
    <row r="226" s="54" customFormat="1" ht="11.4" customHeight="1" x14ac:dyDescent="0.3"/>
    <row r="227" s="54" customFormat="1" ht="11.4" customHeight="1" x14ac:dyDescent="0.3"/>
    <row r="228" s="54" customFormat="1" ht="11.4" customHeight="1" x14ac:dyDescent="0.3"/>
    <row r="229" s="54" customFormat="1" ht="11.4" customHeight="1" x14ac:dyDescent="0.3"/>
    <row r="230" s="54" customFormat="1" ht="11.4" customHeight="1" x14ac:dyDescent="0.3"/>
    <row r="231" s="54" customFormat="1" ht="11.4" customHeight="1" x14ac:dyDescent="0.3"/>
    <row r="232" s="54" customFormat="1" ht="11.4" customHeight="1" x14ac:dyDescent="0.3"/>
    <row r="233" s="54" customFormat="1" ht="11.4" customHeight="1" x14ac:dyDescent="0.3"/>
    <row r="234" s="54" customFormat="1" ht="11.4" customHeight="1" x14ac:dyDescent="0.3"/>
    <row r="235" s="54" customFormat="1" ht="11.4" customHeight="1" x14ac:dyDescent="0.3"/>
    <row r="236" s="54" customFormat="1" ht="11.4" customHeight="1" x14ac:dyDescent="0.3"/>
    <row r="237" s="54" customFormat="1" ht="11.4" customHeight="1" x14ac:dyDescent="0.3"/>
    <row r="238" s="54" customFormat="1" ht="11.4" customHeight="1" x14ac:dyDescent="0.3"/>
    <row r="239" s="54" customFormat="1" ht="11.4" customHeight="1" x14ac:dyDescent="0.3"/>
    <row r="240" s="54" customFormat="1" ht="11.4" customHeight="1" x14ac:dyDescent="0.3"/>
    <row r="241" s="54" customFormat="1" ht="11.4" customHeight="1" x14ac:dyDescent="0.3"/>
    <row r="242" s="54" customFormat="1" ht="11.4" customHeight="1" x14ac:dyDescent="0.3"/>
    <row r="243" s="54" customFormat="1" ht="11.4" customHeight="1" x14ac:dyDescent="0.3"/>
    <row r="244" s="54" customFormat="1" ht="11.4" customHeight="1" x14ac:dyDescent="0.3"/>
    <row r="245" s="54" customFormat="1" ht="11.4" customHeight="1" x14ac:dyDescent="0.3"/>
    <row r="246" s="54" customFormat="1" ht="11.4" customHeight="1" x14ac:dyDescent="0.3"/>
    <row r="247" s="54" customFormat="1" ht="11.4" customHeight="1" x14ac:dyDescent="0.3"/>
    <row r="248" s="54" customFormat="1" ht="11.4" customHeight="1" x14ac:dyDescent="0.3"/>
    <row r="249" s="54" customFormat="1" ht="11.4" customHeight="1" x14ac:dyDescent="0.3"/>
    <row r="250" s="54" customFormat="1" ht="11.4" customHeight="1" x14ac:dyDescent="0.3"/>
    <row r="251" s="54" customFormat="1" ht="11.4" customHeight="1" x14ac:dyDescent="0.3"/>
    <row r="252" s="54" customFormat="1" ht="11.4" customHeight="1" x14ac:dyDescent="0.3"/>
    <row r="253" s="54" customFormat="1" ht="11.4" customHeight="1" x14ac:dyDescent="0.3"/>
    <row r="254" s="54" customFormat="1" ht="11.4" customHeight="1" x14ac:dyDescent="0.3"/>
    <row r="255" s="54" customFormat="1" ht="11.4" customHeight="1" x14ac:dyDescent="0.3"/>
    <row r="256" s="54" customFormat="1" ht="11.4" customHeight="1" x14ac:dyDescent="0.3"/>
    <row r="257" s="54" customFormat="1" ht="11.4" customHeight="1" x14ac:dyDescent="0.3"/>
    <row r="258" s="54" customFormat="1" ht="11.4" customHeight="1" x14ac:dyDescent="0.3"/>
    <row r="259" s="54" customFormat="1" ht="11.4" customHeight="1" x14ac:dyDescent="0.3"/>
    <row r="260" s="54" customFormat="1" ht="11.4" customHeight="1" x14ac:dyDescent="0.3"/>
    <row r="261" s="54" customFormat="1" ht="11.4" customHeight="1" x14ac:dyDescent="0.3"/>
    <row r="262" s="54" customFormat="1" ht="11.4" customHeight="1" x14ac:dyDescent="0.3"/>
    <row r="263" s="54" customFormat="1" ht="11.4" customHeight="1" x14ac:dyDescent="0.3"/>
    <row r="264" s="54" customFormat="1" ht="11.4" customHeight="1" x14ac:dyDescent="0.3"/>
    <row r="265" s="54" customFormat="1" ht="11.4" customHeight="1" x14ac:dyDescent="0.3"/>
    <row r="266" s="54" customFormat="1" ht="11.4" customHeight="1" x14ac:dyDescent="0.3"/>
    <row r="267" s="54" customFormat="1" ht="11.4" customHeight="1" x14ac:dyDescent="0.3"/>
    <row r="268" s="54" customFormat="1" ht="11.4" customHeight="1" x14ac:dyDescent="0.3"/>
    <row r="269" s="54" customFormat="1" ht="11.4" customHeight="1" x14ac:dyDescent="0.3"/>
    <row r="270" s="54" customFormat="1" ht="11.4" customHeight="1" x14ac:dyDescent="0.3"/>
    <row r="271" s="54" customFormat="1" ht="11.4" customHeight="1" x14ac:dyDescent="0.3"/>
    <row r="272" s="54" customFormat="1" ht="11.4" customHeight="1" x14ac:dyDescent="0.3"/>
    <row r="273" s="54" customFormat="1" ht="11.4" customHeight="1" x14ac:dyDescent="0.3"/>
    <row r="274" s="54" customFormat="1" ht="11.4" customHeight="1" x14ac:dyDescent="0.3"/>
    <row r="275" s="54" customFormat="1" ht="11.4" customHeight="1" x14ac:dyDescent="0.3"/>
    <row r="276" s="54" customFormat="1" ht="11.4" customHeight="1" x14ac:dyDescent="0.3"/>
    <row r="277" s="54" customFormat="1" ht="11.4" customHeight="1" x14ac:dyDescent="0.3"/>
    <row r="278" s="54" customFormat="1" ht="11.4" customHeight="1" x14ac:dyDescent="0.3"/>
    <row r="279" s="54" customFormat="1" ht="11.4" customHeight="1" x14ac:dyDescent="0.3"/>
    <row r="280" s="54" customFormat="1" ht="11.4" customHeight="1" x14ac:dyDescent="0.3"/>
    <row r="281" s="54" customFormat="1" ht="11.4" customHeight="1" x14ac:dyDescent="0.3"/>
    <row r="282" s="54" customFormat="1" ht="11.4" customHeight="1" x14ac:dyDescent="0.3"/>
    <row r="283" s="54" customFormat="1" ht="11.4" customHeight="1" x14ac:dyDescent="0.3"/>
    <row r="284" s="54" customFormat="1" ht="11.4" customHeight="1" x14ac:dyDescent="0.3"/>
    <row r="285" s="54" customFormat="1" ht="11.4" customHeight="1" x14ac:dyDescent="0.3"/>
    <row r="286" s="54" customFormat="1" ht="11.4" customHeight="1" x14ac:dyDescent="0.3"/>
    <row r="287" s="54" customFormat="1" ht="11.4" customHeight="1" x14ac:dyDescent="0.3"/>
    <row r="288" s="54" customFormat="1" ht="11.4" customHeight="1" x14ac:dyDescent="0.3"/>
    <row r="289" s="54" customFormat="1" ht="11.4" customHeight="1" x14ac:dyDescent="0.3"/>
    <row r="290" s="54" customFormat="1" ht="11.4" customHeight="1" x14ac:dyDescent="0.3"/>
    <row r="291" s="54" customFormat="1" ht="11.4" customHeight="1" x14ac:dyDescent="0.3"/>
    <row r="292" s="54" customFormat="1" ht="11.4" customHeight="1" x14ac:dyDescent="0.3"/>
    <row r="293" s="54" customFormat="1" ht="11.4" customHeight="1" x14ac:dyDescent="0.3"/>
    <row r="294" s="54" customFormat="1" ht="11.4" customHeight="1" x14ac:dyDescent="0.3"/>
    <row r="295" s="54" customFormat="1" ht="11.4" customHeight="1" x14ac:dyDescent="0.3"/>
    <row r="296" s="54" customFormat="1" ht="11.4" customHeight="1" x14ac:dyDescent="0.3"/>
    <row r="297" s="54" customFormat="1" ht="11.4" customHeight="1" x14ac:dyDescent="0.3"/>
    <row r="298" s="54" customFormat="1" ht="11.4" customHeight="1" x14ac:dyDescent="0.3"/>
    <row r="299" s="54" customFormat="1" ht="11.4" customHeight="1" x14ac:dyDescent="0.3"/>
    <row r="300" s="54" customFormat="1" ht="11.4" customHeight="1" x14ac:dyDescent="0.3"/>
    <row r="301" s="54" customFormat="1" ht="11.4" customHeight="1" x14ac:dyDescent="0.3"/>
    <row r="302" s="54" customFormat="1" ht="11.4" customHeight="1" x14ac:dyDescent="0.3"/>
    <row r="303" s="54" customFormat="1" ht="11.4" customHeight="1" x14ac:dyDescent="0.3"/>
    <row r="304" s="54" customFormat="1" ht="11.4" customHeight="1" x14ac:dyDescent="0.3"/>
    <row r="305" s="54" customFormat="1" ht="11.4" customHeight="1" x14ac:dyDescent="0.3"/>
    <row r="306" s="54" customFormat="1" ht="11.4" customHeight="1" x14ac:dyDescent="0.3"/>
    <row r="307" s="54" customFormat="1" ht="11.4" customHeight="1" x14ac:dyDescent="0.3"/>
    <row r="308" s="54" customFormat="1" ht="11.4" customHeight="1" x14ac:dyDescent="0.3"/>
    <row r="309" s="54" customFormat="1" ht="11.4" customHeight="1" x14ac:dyDescent="0.3"/>
    <row r="310" s="54" customFormat="1" ht="11.4" customHeight="1" x14ac:dyDescent="0.3"/>
    <row r="311" s="54" customFormat="1" ht="11.4" customHeight="1" x14ac:dyDescent="0.3"/>
    <row r="312" s="54" customFormat="1" ht="11.4" customHeight="1" x14ac:dyDescent="0.3"/>
    <row r="313" s="54" customFormat="1" ht="11.4" customHeight="1" x14ac:dyDescent="0.3"/>
    <row r="314" s="54" customFormat="1" ht="11.4" customHeight="1" x14ac:dyDescent="0.3"/>
    <row r="315" s="54" customFormat="1" ht="11.4" customHeight="1" x14ac:dyDescent="0.3"/>
    <row r="316" s="54" customFormat="1" ht="11.4" customHeight="1" x14ac:dyDescent="0.3"/>
    <row r="317" s="54" customFormat="1" ht="11.4" customHeight="1" x14ac:dyDescent="0.3"/>
    <row r="318" s="54" customFormat="1" ht="11.4" customHeight="1" x14ac:dyDescent="0.3"/>
    <row r="319" s="54" customFormat="1" ht="11.4" customHeight="1" x14ac:dyDescent="0.3"/>
    <row r="320" s="54" customFormat="1" ht="11.4" customHeight="1" x14ac:dyDescent="0.3"/>
    <row r="321" s="54" customFormat="1" ht="11.4" customHeight="1" x14ac:dyDescent="0.3"/>
    <row r="322" s="54" customFormat="1" ht="11.4" customHeight="1" x14ac:dyDescent="0.3"/>
    <row r="323" s="54" customFormat="1" ht="11.4" customHeight="1" x14ac:dyDescent="0.3"/>
    <row r="324" s="54" customFormat="1" ht="11.4" customHeight="1" x14ac:dyDescent="0.3"/>
    <row r="325" s="54" customFormat="1" ht="11.4" customHeight="1" x14ac:dyDescent="0.3"/>
    <row r="326" s="54" customFormat="1" ht="11.4" customHeight="1" x14ac:dyDescent="0.3"/>
    <row r="327" s="54" customFormat="1" ht="11.4" customHeight="1" x14ac:dyDescent="0.3"/>
    <row r="328" s="54" customFormat="1" ht="11.4" customHeight="1" x14ac:dyDescent="0.3"/>
    <row r="329" s="54" customFormat="1" ht="11.4" customHeight="1" x14ac:dyDescent="0.3"/>
    <row r="330" s="54" customFormat="1" ht="11.4" customHeight="1" x14ac:dyDescent="0.3"/>
    <row r="331" s="54" customFormat="1" ht="11.4" customHeight="1" x14ac:dyDescent="0.3"/>
    <row r="332" s="54" customFormat="1" ht="11.4" customHeight="1" x14ac:dyDescent="0.3"/>
    <row r="333" s="54" customFormat="1" ht="11.4" customHeight="1" x14ac:dyDescent="0.3"/>
    <row r="334" s="54" customFormat="1" ht="11.4" customHeight="1" x14ac:dyDescent="0.3"/>
    <row r="335" s="54" customFormat="1" ht="11.4" customHeight="1" x14ac:dyDescent="0.3"/>
    <row r="336" s="54" customFormat="1" ht="11.4" customHeight="1" x14ac:dyDescent="0.3"/>
    <row r="337" s="54" customFormat="1" ht="11.4" customHeight="1" x14ac:dyDescent="0.3"/>
    <row r="338" s="54" customFormat="1" ht="11.4" customHeight="1" x14ac:dyDescent="0.3"/>
    <row r="339" s="54" customFormat="1" ht="11.4" customHeight="1" x14ac:dyDescent="0.3"/>
    <row r="340" s="54" customFormat="1" ht="11.4" customHeight="1" x14ac:dyDescent="0.3"/>
    <row r="341" s="54" customFormat="1" ht="11.4" customHeight="1" x14ac:dyDescent="0.3"/>
    <row r="342" s="54" customFormat="1" ht="11.4" customHeight="1" x14ac:dyDescent="0.3"/>
    <row r="343" s="54" customFormat="1" ht="11.4" customHeight="1" x14ac:dyDescent="0.3"/>
    <row r="344" s="54" customFormat="1" ht="11.4" customHeight="1" x14ac:dyDescent="0.3"/>
    <row r="345" s="54" customFormat="1" ht="11.4" customHeight="1" x14ac:dyDescent="0.3"/>
    <row r="346" s="54" customFormat="1" ht="11.4" customHeight="1" x14ac:dyDescent="0.3"/>
    <row r="347" s="54" customFormat="1" ht="11.4" customHeight="1" x14ac:dyDescent="0.3"/>
    <row r="348" s="54" customFormat="1" ht="11.4" customHeight="1" x14ac:dyDescent="0.3"/>
    <row r="349" s="54" customFormat="1" ht="11.4" customHeight="1" x14ac:dyDescent="0.3"/>
    <row r="350" s="54" customFormat="1" ht="11.4" customHeight="1" x14ac:dyDescent="0.3"/>
    <row r="351" s="54" customFormat="1" ht="11.4" customHeight="1" x14ac:dyDescent="0.3"/>
    <row r="352" s="54" customFormat="1" ht="11.4" customHeight="1" x14ac:dyDescent="0.3"/>
    <row r="353" s="54" customFormat="1" ht="11.4" customHeight="1" x14ac:dyDescent="0.3"/>
    <row r="354" s="54" customFormat="1" ht="11.4" customHeight="1" x14ac:dyDescent="0.3"/>
    <row r="355" s="54" customFormat="1" ht="11.4" customHeight="1" x14ac:dyDescent="0.3"/>
    <row r="356" s="54" customFormat="1" ht="11.4" customHeight="1" x14ac:dyDescent="0.3"/>
    <row r="357" s="54" customFormat="1" ht="11.4" customHeight="1" x14ac:dyDescent="0.3"/>
    <row r="358" s="54" customFormat="1" ht="11.4" customHeight="1" x14ac:dyDescent="0.3"/>
    <row r="359" s="54" customFormat="1" ht="11.4" customHeight="1" x14ac:dyDescent="0.3"/>
    <row r="360" s="54" customFormat="1" ht="11.4" customHeight="1" x14ac:dyDescent="0.3"/>
    <row r="361" s="54" customFormat="1" ht="11.4" customHeight="1" x14ac:dyDescent="0.3"/>
    <row r="362" s="54" customFormat="1" ht="11.4" customHeight="1" x14ac:dyDescent="0.3"/>
    <row r="363" s="54" customFormat="1" ht="11.4" customHeight="1" x14ac:dyDescent="0.3"/>
    <row r="364" s="54" customFormat="1" ht="11.4" customHeight="1" x14ac:dyDescent="0.3"/>
    <row r="365" s="54" customFormat="1" ht="11.4" customHeight="1" x14ac:dyDescent="0.3"/>
    <row r="366" s="54" customFormat="1" ht="11.4" customHeight="1" x14ac:dyDescent="0.3"/>
    <row r="367" s="54" customFormat="1" ht="11.4" customHeight="1" x14ac:dyDescent="0.3"/>
    <row r="368" s="54" customFormat="1" ht="11.4" customHeight="1" x14ac:dyDescent="0.3"/>
    <row r="369" s="54" customFormat="1" ht="11.4" customHeight="1" x14ac:dyDescent="0.3"/>
    <row r="370" s="54" customFormat="1" ht="11.4" customHeight="1" x14ac:dyDescent="0.3"/>
    <row r="371" s="54" customFormat="1" ht="11.4" customHeight="1" x14ac:dyDescent="0.3"/>
    <row r="372" s="54" customFormat="1" ht="11.4" customHeight="1" x14ac:dyDescent="0.3"/>
    <row r="373" s="54" customFormat="1" ht="11.4" customHeight="1" x14ac:dyDescent="0.3"/>
    <row r="374" s="54" customFormat="1" ht="11.4" customHeight="1" x14ac:dyDescent="0.3"/>
    <row r="375" s="54" customFormat="1" ht="11.4" customHeight="1" x14ac:dyDescent="0.3"/>
    <row r="376" s="54" customFormat="1" ht="11.4" customHeight="1" x14ac:dyDescent="0.3"/>
    <row r="377" s="54" customFormat="1" ht="11.4" customHeight="1" x14ac:dyDescent="0.3"/>
    <row r="378" s="54" customFormat="1" ht="11.4" customHeight="1" x14ac:dyDescent="0.3"/>
    <row r="379" s="54" customFormat="1" ht="11.4" customHeight="1" x14ac:dyDescent="0.3"/>
    <row r="380" s="54" customFormat="1" ht="11.4" customHeight="1" x14ac:dyDescent="0.3"/>
    <row r="381" s="54" customFormat="1" ht="11.4" customHeight="1" x14ac:dyDescent="0.3"/>
    <row r="382" s="54" customFormat="1" ht="11.4" customHeight="1" x14ac:dyDescent="0.3"/>
    <row r="383" s="54" customFormat="1" ht="11.4" customHeight="1" x14ac:dyDescent="0.3"/>
    <row r="384" s="54" customFormat="1" ht="11.4" customHeight="1" x14ac:dyDescent="0.3"/>
    <row r="385" s="54" customFormat="1" ht="11.4" customHeight="1" x14ac:dyDescent="0.3"/>
    <row r="386" s="54" customFormat="1" ht="11.4" customHeight="1" x14ac:dyDescent="0.3"/>
    <row r="387" s="54" customFormat="1" ht="11.4" customHeight="1" x14ac:dyDescent="0.3"/>
    <row r="388" s="54" customFormat="1" ht="11.4" customHeight="1" x14ac:dyDescent="0.3"/>
    <row r="389" s="54" customFormat="1" ht="11.4" customHeight="1" x14ac:dyDescent="0.3"/>
    <row r="390" s="54" customFormat="1" ht="11.4" customHeight="1" x14ac:dyDescent="0.3"/>
    <row r="391" s="54" customFormat="1" ht="11.4" customHeight="1" x14ac:dyDescent="0.3"/>
    <row r="392" s="54" customFormat="1" ht="11.4" customHeight="1" x14ac:dyDescent="0.3"/>
    <row r="393" s="54" customFormat="1" ht="11.4" customHeight="1" x14ac:dyDescent="0.3"/>
    <row r="394" s="54" customFormat="1" ht="11.4" customHeight="1" x14ac:dyDescent="0.3"/>
    <row r="395" s="54" customFormat="1" ht="11.4" customHeight="1" x14ac:dyDescent="0.3"/>
    <row r="396" s="54" customFormat="1" ht="11.4" customHeight="1" x14ac:dyDescent="0.3"/>
    <row r="397" s="54" customFormat="1" ht="11.4" customHeight="1" x14ac:dyDescent="0.3"/>
    <row r="398" s="54" customFormat="1" ht="11.4" customHeight="1" x14ac:dyDescent="0.3"/>
    <row r="399" s="54" customFormat="1" ht="11.4" customHeight="1" x14ac:dyDescent="0.3"/>
    <row r="400" s="54" customFormat="1" ht="11.4" customHeight="1" x14ac:dyDescent="0.3"/>
    <row r="401" s="54" customFormat="1" ht="11.4" customHeight="1" x14ac:dyDescent="0.3"/>
    <row r="402" s="54" customFormat="1" ht="11.4" customHeight="1" x14ac:dyDescent="0.3"/>
    <row r="403" s="54" customFormat="1" ht="11.4" customHeight="1" x14ac:dyDescent="0.3"/>
    <row r="404" s="54" customFormat="1" ht="11.4" customHeight="1" x14ac:dyDescent="0.3"/>
    <row r="405" s="54" customFormat="1" ht="11.4" customHeight="1" x14ac:dyDescent="0.3"/>
    <row r="406" s="54" customFormat="1" ht="11.4" customHeight="1" x14ac:dyDescent="0.3"/>
    <row r="407" s="54" customFormat="1" ht="11.4" customHeight="1" x14ac:dyDescent="0.3"/>
    <row r="408" s="54" customFormat="1" ht="11.4" customHeight="1" x14ac:dyDescent="0.3"/>
    <row r="409" s="54" customFormat="1" ht="11.4" customHeight="1" x14ac:dyDescent="0.3"/>
    <row r="410" s="54" customFormat="1" ht="11.4" customHeight="1" x14ac:dyDescent="0.3"/>
    <row r="411" s="54" customFormat="1" ht="11.4" customHeight="1" x14ac:dyDescent="0.3"/>
    <row r="412" s="54" customFormat="1" ht="11.4" customHeight="1" x14ac:dyDescent="0.3"/>
    <row r="413" s="54" customFormat="1" ht="11.4" customHeight="1" x14ac:dyDescent="0.3"/>
    <row r="414" s="54" customFormat="1" ht="11.4" customHeight="1" x14ac:dyDescent="0.3"/>
    <row r="415" s="54" customFormat="1" ht="11.4" customHeight="1" x14ac:dyDescent="0.3"/>
    <row r="416" s="54" customFormat="1" ht="11.4" customHeight="1" x14ac:dyDescent="0.3"/>
    <row r="417" s="54" customFormat="1" ht="11.4" customHeight="1" x14ac:dyDescent="0.3"/>
    <row r="418" s="54" customFormat="1" ht="11.4" customHeight="1" x14ac:dyDescent="0.3"/>
    <row r="419" s="54" customFormat="1" ht="11.4" customHeight="1" x14ac:dyDescent="0.3"/>
    <row r="420" s="54" customFormat="1" ht="11.4" customHeight="1" x14ac:dyDescent="0.3"/>
    <row r="421" s="54" customFormat="1" ht="11.4" customHeight="1" x14ac:dyDescent="0.3"/>
    <row r="422" s="54" customFormat="1" ht="11.4" customHeight="1" x14ac:dyDescent="0.3"/>
    <row r="423" s="54" customFormat="1" ht="11.4" customHeight="1" x14ac:dyDescent="0.3"/>
    <row r="424" s="54" customFormat="1" ht="11.4" customHeight="1" x14ac:dyDescent="0.3"/>
    <row r="425" s="54" customFormat="1" ht="11.4" customHeight="1" x14ac:dyDescent="0.3"/>
    <row r="426" s="54" customFormat="1" ht="11.4" customHeight="1" x14ac:dyDescent="0.3"/>
    <row r="427" s="54" customFormat="1" ht="11.4" customHeight="1" x14ac:dyDescent="0.3"/>
    <row r="428" s="54" customFormat="1" ht="11.4" customHeight="1" x14ac:dyDescent="0.3"/>
    <row r="429" s="54" customFormat="1" ht="11.4" customHeight="1" x14ac:dyDescent="0.3"/>
    <row r="430" s="54" customFormat="1" ht="11.4" customHeight="1" x14ac:dyDescent="0.3"/>
    <row r="431" s="54" customFormat="1" ht="11.4" customHeight="1" x14ac:dyDescent="0.3"/>
    <row r="432" s="54" customFormat="1" ht="11.4" customHeight="1" x14ac:dyDescent="0.3"/>
    <row r="433" s="54" customFormat="1" ht="11.4" customHeight="1" x14ac:dyDescent="0.3"/>
    <row r="434" s="54" customFormat="1" ht="11.4" customHeight="1" x14ac:dyDescent="0.3"/>
    <row r="435" s="54" customFormat="1" ht="11.4" customHeight="1" x14ac:dyDescent="0.3"/>
    <row r="436" s="54" customFormat="1" ht="11.4" customHeight="1" x14ac:dyDescent="0.3"/>
    <row r="437" s="54" customFormat="1" ht="11.4" customHeight="1" x14ac:dyDescent="0.3"/>
    <row r="438" s="54" customFormat="1" ht="11.4" customHeight="1" x14ac:dyDescent="0.3"/>
    <row r="439" s="54" customFormat="1" ht="11.4" customHeight="1" x14ac:dyDescent="0.3"/>
    <row r="440" s="54" customFormat="1" ht="11.4" customHeight="1" x14ac:dyDescent="0.3"/>
    <row r="441" s="54" customFormat="1" ht="11.4" customHeight="1" x14ac:dyDescent="0.3"/>
    <row r="442" s="54" customFormat="1" ht="11.4" customHeight="1" x14ac:dyDescent="0.3"/>
    <row r="443" s="54" customFormat="1" ht="11.4" customHeight="1" x14ac:dyDescent="0.3"/>
    <row r="444" s="54" customFormat="1" ht="11.4" customHeight="1" x14ac:dyDescent="0.3"/>
    <row r="445" s="54" customFormat="1" ht="11.4" customHeight="1" x14ac:dyDescent="0.3"/>
    <row r="446" s="54" customFormat="1" ht="11.4" customHeight="1" x14ac:dyDescent="0.3"/>
    <row r="447" s="54" customFormat="1" ht="11.4" customHeight="1" x14ac:dyDescent="0.3"/>
    <row r="448" s="54" customFormat="1" ht="11.4" customHeight="1" x14ac:dyDescent="0.3"/>
    <row r="449" s="54" customFormat="1" ht="11.4" customHeight="1" x14ac:dyDescent="0.3"/>
    <row r="450" s="54" customFormat="1" ht="11.4" customHeight="1" x14ac:dyDescent="0.3"/>
    <row r="451" s="54" customFormat="1" ht="11.4" customHeight="1" x14ac:dyDescent="0.3"/>
    <row r="452" s="54" customFormat="1" ht="11.4" customHeight="1" x14ac:dyDescent="0.3"/>
    <row r="453" s="54" customFormat="1" ht="11.4" customHeight="1" x14ac:dyDescent="0.3"/>
    <row r="454" s="54" customFormat="1" ht="11.4" customHeight="1" x14ac:dyDescent="0.3"/>
    <row r="455" s="54" customFormat="1" ht="11.4" customHeight="1" x14ac:dyDescent="0.3"/>
    <row r="456" s="54" customFormat="1" ht="11.4" customHeight="1" x14ac:dyDescent="0.3"/>
    <row r="457" s="54" customFormat="1" ht="11.4" customHeight="1" x14ac:dyDescent="0.3"/>
    <row r="458" s="54" customFormat="1" ht="11.4" customHeight="1" x14ac:dyDescent="0.3"/>
    <row r="459" s="54" customFormat="1" ht="11.4" customHeight="1" x14ac:dyDescent="0.3"/>
    <row r="460" s="54" customFormat="1" ht="11.4" customHeight="1" x14ac:dyDescent="0.3"/>
    <row r="461" s="54" customFormat="1" ht="11.4" customHeight="1" x14ac:dyDescent="0.3"/>
    <row r="462" s="54" customFormat="1" ht="11.4" customHeight="1" x14ac:dyDescent="0.3"/>
    <row r="463" s="54" customFormat="1" ht="11.4" customHeight="1" x14ac:dyDescent="0.3"/>
    <row r="464" s="54" customFormat="1" ht="11.4" customHeight="1" x14ac:dyDescent="0.3"/>
    <row r="465" s="54" customFormat="1" ht="11.4" customHeight="1" x14ac:dyDescent="0.3"/>
    <row r="466" s="54" customFormat="1" ht="11.4" customHeight="1" x14ac:dyDescent="0.3"/>
    <row r="467" s="54" customFormat="1" ht="11.4" customHeight="1" x14ac:dyDescent="0.3"/>
    <row r="468" s="54" customFormat="1" ht="11.4" customHeight="1" x14ac:dyDescent="0.3"/>
    <row r="469" s="54" customFormat="1" ht="11.4" customHeight="1" x14ac:dyDescent="0.3"/>
    <row r="470" s="54" customFormat="1" ht="11.4" customHeight="1" x14ac:dyDescent="0.3"/>
    <row r="471" s="54" customFormat="1" ht="11.4" customHeight="1" x14ac:dyDescent="0.3"/>
    <row r="472" s="54" customFormat="1" ht="11.4" customHeight="1" x14ac:dyDescent="0.3"/>
    <row r="473" s="54" customFormat="1" ht="11.4" customHeight="1" x14ac:dyDescent="0.3"/>
    <row r="474" s="54" customFormat="1" ht="11.4" customHeight="1" x14ac:dyDescent="0.3"/>
    <row r="475" s="54" customFormat="1" ht="11.4" customHeight="1" x14ac:dyDescent="0.3"/>
    <row r="476" s="54" customFormat="1" ht="11.4" customHeight="1" x14ac:dyDescent="0.3"/>
    <row r="477" s="54" customFormat="1" ht="11.4" customHeight="1" x14ac:dyDescent="0.3"/>
    <row r="478" s="54" customFormat="1" ht="11.4" customHeight="1" x14ac:dyDescent="0.3"/>
    <row r="479" s="54" customFormat="1" ht="11.4" customHeight="1" x14ac:dyDescent="0.3"/>
    <row r="480" s="54" customFormat="1" ht="11.4" customHeight="1" x14ac:dyDescent="0.3"/>
    <row r="481" s="54" customFormat="1" ht="11.4" customHeight="1" x14ac:dyDescent="0.3"/>
    <row r="482" s="54" customFormat="1" ht="11.4" customHeight="1" x14ac:dyDescent="0.3"/>
    <row r="483" s="54" customFormat="1" ht="11.4" customHeight="1" x14ac:dyDescent="0.3"/>
    <row r="484" s="54" customFormat="1" ht="11.4" customHeight="1" x14ac:dyDescent="0.3"/>
    <row r="485" s="54" customFormat="1" ht="11.4" customHeight="1" x14ac:dyDescent="0.3"/>
    <row r="486" s="54" customFormat="1" ht="11.4" customHeight="1" x14ac:dyDescent="0.3"/>
    <row r="487" s="54" customFormat="1" ht="11.4" customHeight="1" x14ac:dyDescent="0.3"/>
    <row r="488" s="54" customFormat="1" ht="11.4" customHeight="1" x14ac:dyDescent="0.3"/>
    <row r="489" s="54" customFormat="1" ht="11.4" customHeight="1" x14ac:dyDescent="0.3"/>
    <row r="490" s="54" customFormat="1" ht="11.4" customHeight="1" x14ac:dyDescent="0.3"/>
    <row r="491" s="54" customFormat="1" ht="11.4" customHeight="1" x14ac:dyDescent="0.3"/>
    <row r="492" s="54" customFormat="1" ht="11.4" customHeight="1" x14ac:dyDescent="0.3"/>
    <row r="493" s="54" customFormat="1" ht="11.4" customHeight="1" x14ac:dyDescent="0.3"/>
    <row r="494" s="54" customFormat="1" ht="11.4" customHeight="1" x14ac:dyDescent="0.3"/>
    <row r="495" s="54" customFormat="1" ht="11.4" customHeight="1" x14ac:dyDescent="0.3"/>
    <row r="496" s="54" customFormat="1" ht="11.4" customHeight="1" x14ac:dyDescent="0.3"/>
    <row r="497" s="54" customFormat="1" ht="11.4" customHeight="1" x14ac:dyDescent="0.3"/>
    <row r="498" s="54" customFormat="1" ht="11.4" customHeight="1" x14ac:dyDescent="0.3"/>
    <row r="499" s="54" customFormat="1" ht="11.4" customHeight="1" x14ac:dyDescent="0.3"/>
    <row r="500" s="54" customFormat="1" ht="11.4" customHeight="1" x14ac:dyDescent="0.3"/>
    <row r="501" s="54" customFormat="1" ht="11.4" customHeight="1" x14ac:dyDescent="0.3"/>
    <row r="502" s="54" customFormat="1" ht="11.4" customHeight="1" x14ac:dyDescent="0.3"/>
    <row r="503" s="54" customFormat="1" ht="11.4" customHeight="1" x14ac:dyDescent="0.3"/>
    <row r="504" s="54" customFormat="1" ht="11.4" customHeight="1" x14ac:dyDescent="0.3"/>
    <row r="505" s="54" customFormat="1" ht="11.4" customHeight="1" x14ac:dyDescent="0.3"/>
    <row r="506" s="54" customFormat="1" ht="11.4" customHeight="1" x14ac:dyDescent="0.3"/>
    <row r="507" s="54" customFormat="1" ht="11.4" customHeight="1" x14ac:dyDescent="0.3"/>
    <row r="508" s="54" customFormat="1" ht="11.4" customHeight="1" x14ac:dyDescent="0.3"/>
    <row r="509" s="54" customFormat="1" ht="11.4" customHeight="1" x14ac:dyDescent="0.3"/>
    <row r="510" s="54" customFormat="1" ht="11.4" customHeight="1" x14ac:dyDescent="0.3"/>
    <row r="511" s="54" customFormat="1" ht="11.4" customHeight="1" x14ac:dyDescent="0.3"/>
    <row r="512" s="54" customFormat="1" ht="11.4" customHeight="1" x14ac:dyDescent="0.3"/>
    <row r="513" s="54" customFormat="1" ht="11.4" customHeight="1" x14ac:dyDescent="0.3"/>
    <row r="514" s="54" customFormat="1" ht="11.4" customHeight="1" x14ac:dyDescent="0.3"/>
    <row r="515" s="54" customFormat="1" ht="11.4" customHeight="1" x14ac:dyDescent="0.3"/>
    <row r="516" s="54" customFormat="1" ht="11.4" customHeight="1" x14ac:dyDescent="0.3"/>
    <row r="517" s="54" customFormat="1" ht="11.4" customHeight="1" x14ac:dyDescent="0.3"/>
    <row r="518" s="54" customFormat="1" ht="11.4" customHeight="1" x14ac:dyDescent="0.3"/>
    <row r="519" s="54" customFormat="1" ht="11.4" customHeight="1" x14ac:dyDescent="0.3"/>
    <row r="520" s="54" customFormat="1" ht="11.4" customHeight="1" x14ac:dyDescent="0.3"/>
    <row r="521" s="54" customFormat="1" ht="11.4" customHeight="1" x14ac:dyDescent="0.3"/>
    <row r="522" s="54" customFormat="1" ht="11.4" customHeight="1" x14ac:dyDescent="0.3"/>
    <row r="523" s="54" customFormat="1" ht="11.4" customHeight="1" x14ac:dyDescent="0.3"/>
    <row r="524" s="54" customFormat="1" ht="11.4" customHeight="1" x14ac:dyDescent="0.3"/>
    <row r="525" s="54" customFormat="1" ht="11.4" customHeight="1" x14ac:dyDescent="0.3"/>
    <row r="526" s="54" customFormat="1" ht="11.4" customHeight="1" x14ac:dyDescent="0.3"/>
    <row r="527" s="54" customFormat="1" ht="11.4" customHeight="1" x14ac:dyDescent="0.3"/>
    <row r="528" s="54" customFormat="1" ht="11.4" customHeight="1" x14ac:dyDescent="0.3"/>
    <row r="529" s="54" customFormat="1" ht="11.4" customHeight="1" x14ac:dyDescent="0.3"/>
    <row r="530" s="54" customFormat="1" ht="11.4" customHeight="1" x14ac:dyDescent="0.3"/>
    <row r="531" s="54" customFormat="1" ht="11.4" customHeight="1" x14ac:dyDescent="0.3"/>
    <row r="532" s="54" customFormat="1" ht="11.4" customHeight="1" x14ac:dyDescent="0.3"/>
    <row r="533" s="54" customFormat="1" ht="11.4" customHeight="1" x14ac:dyDescent="0.3"/>
    <row r="534" s="54" customFormat="1" ht="11.4" customHeight="1" x14ac:dyDescent="0.3"/>
    <row r="535" s="54" customFormat="1" ht="11.4" customHeight="1" x14ac:dyDescent="0.3"/>
    <row r="536" s="54" customFormat="1" ht="11.4" customHeight="1" x14ac:dyDescent="0.3"/>
    <row r="537" s="54" customFormat="1" ht="11.4" customHeight="1" x14ac:dyDescent="0.3"/>
    <row r="538" s="54" customFormat="1" ht="11.4" customHeight="1" x14ac:dyDescent="0.3"/>
    <row r="539" s="54" customFormat="1" ht="11.4" customHeight="1" x14ac:dyDescent="0.3"/>
    <row r="540" s="54" customFormat="1" ht="11.4" customHeight="1" x14ac:dyDescent="0.3"/>
    <row r="541" s="54" customFormat="1" ht="11.4" customHeight="1" x14ac:dyDescent="0.3"/>
    <row r="542" s="54" customFormat="1" ht="11.4" customHeight="1" x14ac:dyDescent="0.3"/>
    <row r="543" s="54" customFormat="1" ht="11.4" customHeight="1" x14ac:dyDescent="0.3"/>
    <row r="544" s="54" customFormat="1" ht="11.4" customHeight="1" x14ac:dyDescent="0.3"/>
    <row r="545" s="54" customFormat="1" ht="11.4" customHeight="1" x14ac:dyDescent="0.3"/>
    <row r="546" s="54" customFormat="1" ht="11.4" customHeight="1" x14ac:dyDescent="0.3"/>
    <row r="547" s="54" customFormat="1" ht="11.4" customHeight="1" x14ac:dyDescent="0.3"/>
    <row r="548" s="54" customFormat="1" ht="11.4" customHeight="1" x14ac:dyDescent="0.3"/>
    <row r="549" s="54" customFormat="1" ht="11.4" customHeight="1" x14ac:dyDescent="0.3"/>
    <row r="550" s="54" customFormat="1" ht="11.4" customHeight="1" x14ac:dyDescent="0.3"/>
    <row r="551" s="54" customFormat="1" ht="11.4" customHeight="1" x14ac:dyDescent="0.3"/>
    <row r="552" s="54" customFormat="1" ht="11.4" customHeight="1" x14ac:dyDescent="0.3"/>
    <row r="553" s="54" customFormat="1" ht="11.4" customHeight="1" x14ac:dyDescent="0.3"/>
    <row r="554" s="54" customFormat="1" ht="11.4" customHeight="1" x14ac:dyDescent="0.3"/>
    <row r="555" s="54" customFormat="1" ht="11.4" customHeight="1" x14ac:dyDescent="0.3"/>
    <row r="556" s="54" customFormat="1" ht="11.4" customHeight="1" x14ac:dyDescent="0.3"/>
    <row r="557" s="54" customFormat="1" ht="11.4" customHeight="1" x14ac:dyDescent="0.3"/>
    <row r="558" s="54" customFormat="1" ht="11.4" customHeight="1" x14ac:dyDescent="0.3"/>
    <row r="559" s="54" customFormat="1" ht="11.4" customHeight="1" x14ac:dyDescent="0.3"/>
    <row r="560" s="54" customFormat="1" ht="11.4" customHeight="1" x14ac:dyDescent="0.3"/>
    <row r="561" s="54" customFormat="1" ht="11.4" customHeight="1" x14ac:dyDescent="0.3"/>
    <row r="562" s="54" customFormat="1" ht="11.4" customHeight="1" x14ac:dyDescent="0.3"/>
    <row r="563" s="54" customFormat="1" ht="11.4" customHeight="1" x14ac:dyDescent="0.3"/>
    <row r="564" s="54" customFormat="1" ht="11.4" customHeight="1" x14ac:dyDescent="0.3"/>
    <row r="565" s="54" customFormat="1" ht="11.4" customHeight="1" x14ac:dyDescent="0.3"/>
    <row r="566" s="54" customFormat="1" ht="11.4" customHeight="1" x14ac:dyDescent="0.3"/>
    <row r="567" s="54" customFormat="1" ht="11.4" customHeight="1" x14ac:dyDescent="0.3"/>
    <row r="568" s="54" customFormat="1" ht="11.4" customHeight="1" x14ac:dyDescent="0.3"/>
    <row r="569" s="54" customFormat="1" ht="11.4" customHeight="1" x14ac:dyDescent="0.3"/>
    <row r="570" s="54" customFormat="1" ht="11.4" customHeight="1" x14ac:dyDescent="0.3"/>
    <row r="571" s="54" customFormat="1" ht="11.4" customHeight="1" x14ac:dyDescent="0.3"/>
    <row r="572" s="54" customFormat="1" ht="11.4" customHeight="1" x14ac:dyDescent="0.3"/>
    <row r="573" s="54" customFormat="1" ht="11.4" customHeight="1" x14ac:dyDescent="0.3"/>
    <row r="574" s="54" customFormat="1" ht="11.4" customHeight="1" x14ac:dyDescent="0.3"/>
    <row r="575" s="54" customFormat="1" ht="11.4" customHeight="1" x14ac:dyDescent="0.3"/>
    <row r="576" s="54" customFormat="1" ht="11.4" customHeight="1" x14ac:dyDescent="0.3"/>
    <row r="577" s="54" customFormat="1" ht="11.4" customHeight="1" x14ac:dyDescent="0.3"/>
    <row r="578" s="54" customFormat="1" ht="11.4" customHeight="1" x14ac:dyDescent="0.3"/>
    <row r="579" s="54" customFormat="1" ht="11.4" customHeight="1" x14ac:dyDescent="0.3"/>
    <row r="580" s="54" customFormat="1" ht="11.4" customHeight="1" x14ac:dyDescent="0.3"/>
    <row r="581" s="54" customFormat="1" ht="11.4" customHeight="1" x14ac:dyDescent="0.3"/>
    <row r="582" s="54" customFormat="1" ht="11.4" customHeight="1" x14ac:dyDescent="0.3"/>
    <row r="583" s="54" customFormat="1" ht="11.4" customHeight="1" x14ac:dyDescent="0.3"/>
    <row r="584" s="54" customFormat="1" ht="11.4" customHeight="1" x14ac:dyDescent="0.3"/>
    <row r="585" s="54" customFormat="1" ht="11.4" customHeight="1" x14ac:dyDescent="0.3"/>
    <row r="586" s="54" customFormat="1" ht="11.4" customHeight="1" x14ac:dyDescent="0.3"/>
    <row r="587" s="54" customFormat="1" ht="11.4" customHeight="1" x14ac:dyDescent="0.3"/>
    <row r="588" s="54" customFormat="1" ht="11.4" customHeight="1" x14ac:dyDescent="0.3"/>
    <row r="589" s="54" customFormat="1" ht="11.4" customHeight="1" x14ac:dyDescent="0.3"/>
    <row r="590" s="54" customFormat="1" ht="11.4" customHeight="1" x14ac:dyDescent="0.3"/>
    <row r="591" s="54" customFormat="1" ht="11.4" customHeight="1" x14ac:dyDescent="0.3"/>
    <row r="592" s="54" customFormat="1" ht="11.4" customHeight="1" x14ac:dyDescent="0.3"/>
    <row r="593" s="54" customFormat="1" ht="11.4" customHeight="1" x14ac:dyDescent="0.3"/>
    <row r="594" s="54" customFormat="1" ht="11.4" customHeight="1" x14ac:dyDescent="0.3"/>
    <row r="595" s="54" customFormat="1" ht="11.4" customHeight="1" x14ac:dyDescent="0.3"/>
    <row r="596" s="54" customFormat="1" ht="11.4" customHeight="1" x14ac:dyDescent="0.3"/>
    <row r="597" s="54" customFormat="1" ht="11.4" customHeight="1" x14ac:dyDescent="0.3"/>
    <row r="598" s="54" customFormat="1" ht="11.4" customHeight="1" x14ac:dyDescent="0.3"/>
    <row r="599" s="54" customFormat="1" ht="11.4" customHeight="1" x14ac:dyDescent="0.3"/>
    <row r="600" s="54" customFormat="1" ht="11.4" customHeight="1" x14ac:dyDescent="0.3"/>
    <row r="601" s="54" customFormat="1" ht="11.4" customHeight="1" x14ac:dyDescent="0.3"/>
    <row r="602" s="54" customFormat="1" ht="11.4" customHeight="1" x14ac:dyDescent="0.3"/>
    <row r="603" s="54" customFormat="1" ht="11.4" customHeight="1" x14ac:dyDescent="0.3"/>
    <row r="604" s="54" customFormat="1" ht="11.4" customHeight="1" x14ac:dyDescent="0.3"/>
    <row r="605" s="54" customFormat="1" ht="11.4" customHeight="1" x14ac:dyDescent="0.3"/>
    <row r="606" s="54" customFormat="1" ht="11.4" customHeight="1" x14ac:dyDescent="0.3"/>
    <row r="607" s="54" customFormat="1" ht="11.4" customHeight="1" x14ac:dyDescent="0.3"/>
    <row r="608" s="54" customFormat="1" ht="11.4" customHeight="1" x14ac:dyDescent="0.3"/>
    <row r="609" s="54" customFormat="1" ht="11.4" customHeight="1" x14ac:dyDescent="0.3"/>
    <row r="610" s="54" customFormat="1" ht="11.4" customHeight="1" x14ac:dyDescent="0.3"/>
    <row r="611" s="54" customFormat="1" ht="11.4" customHeight="1" x14ac:dyDescent="0.3"/>
    <row r="612" s="54" customFormat="1" ht="11.4" customHeight="1" x14ac:dyDescent="0.3"/>
    <row r="613" s="54" customFormat="1" ht="11.4" customHeight="1" x14ac:dyDescent="0.3"/>
    <row r="614" s="54" customFormat="1" ht="11.4" customHeight="1" x14ac:dyDescent="0.3"/>
    <row r="615" s="54" customFormat="1" ht="11.4" customHeight="1" x14ac:dyDescent="0.3"/>
    <row r="616" s="54" customFormat="1" ht="11.4" customHeight="1" x14ac:dyDescent="0.3"/>
    <row r="617" s="54" customFormat="1" ht="11.4" customHeight="1" x14ac:dyDescent="0.3"/>
    <row r="618" s="54" customFormat="1" ht="11.4" customHeight="1" x14ac:dyDescent="0.3"/>
    <row r="619" s="54" customFormat="1" ht="11.4" customHeight="1" x14ac:dyDescent="0.3"/>
    <row r="620" s="54" customFormat="1" ht="11.4" customHeight="1" x14ac:dyDescent="0.3"/>
    <row r="621" s="54" customFormat="1" ht="11.4" customHeight="1" x14ac:dyDescent="0.3"/>
    <row r="622" s="54" customFormat="1" ht="11.4" customHeight="1" x14ac:dyDescent="0.3"/>
    <row r="623" s="54" customFormat="1" ht="11.4" customHeight="1" x14ac:dyDescent="0.3"/>
    <row r="624" s="54" customFormat="1" ht="11.4" customHeight="1" x14ac:dyDescent="0.3"/>
    <row r="625" s="54" customFormat="1" ht="11.4" customHeight="1" x14ac:dyDescent="0.3"/>
    <row r="626" s="54" customFormat="1" ht="11.4" customHeight="1" x14ac:dyDescent="0.3"/>
    <row r="627" s="54" customFormat="1" ht="11.4" customHeight="1" x14ac:dyDescent="0.3"/>
    <row r="628" s="54" customFormat="1" ht="11.4" customHeight="1" x14ac:dyDescent="0.3"/>
    <row r="629" s="54" customFormat="1" ht="11.4" customHeight="1" x14ac:dyDescent="0.3"/>
    <row r="630" s="54" customFormat="1" ht="11.4" customHeight="1" x14ac:dyDescent="0.3"/>
    <row r="631" s="54" customFormat="1" ht="11.4" customHeight="1" x14ac:dyDescent="0.3"/>
    <row r="632" s="54" customFormat="1" ht="11.4" customHeight="1" x14ac:dyDescent="0.3"/>
    <row r="633" s="54" customFormat="1" ht="11.4" customHeight="1" x14ac:dyDescent="0.3"/>
    <row r="634" s="54" customFormat="1" ht="11.4" customHeight="1" x14ac:dyDescent="0.3"/>
    <row r="635" s="54" customFormat="1" ht="11.4" customHeight="1" x14ac:dyDescent="0.3"/>
    <row r="636" s="54" customFormat="1" ht="11.4" customHeight="1" x14ac:dyDescent="0.3"/>
    <row r="637" s="54" customFormat="1" ht="11.4" customHeight="1" x14ac:dyDescent="0.3"/>
    <row r="638" s="54" customFormat="1" ht="11.4" customHeight="1" x14ac:dyDescent="0.3"/>
    <row r="639" s="54" customFormat="1" ht="11.4" customHeight="1" x14ac:dyDescent="0.3"/>
    <row r="640" s="54" customFormat="1" ht="11.4" customHeight="1" x14ac:dyDescent="0.3"/>
    <row r="641" s="54" customFormat="1" ht="11.4" customHeight="1" x14ac:dyDescent="0.3"/>
    <row r="642" s="54" customFormat="1" ht="11.4" customHeight="1" x14ac:dyDescent="0.3"/>
    <row r="643" s="54" customFormat="1" ht="11.4" customHeight="1" x14ac:dyDescent="0.3"/>
    <row r="644" s="54" customFormat="1" ht="11.4" customHeight="1" x14ac:dyDescent="0.3"/>
    <row r="645" s="54" customFormat="1" ht="11.4" customHeight="1" x14ac:dyDescent="0.3"/>
    <row r="646" s="54" customFormat="1" ht="11.4" customHeight="1" x14ac:dyDescent="0.3"/>
    <row r="647" s="54" customFormat="1" ht="11.4" customHeight="1" x14ac:dyDescent="0.3"/>
    <row r="648" s="54" customFormat="1" ht="11.4" customHeight="1" x14ac:dyDescent="0.3"/>
    <row r="649" s="54" customFormat="1" ht="11.4" customHeight="1" x14ac:dyDescent="0.3"/>
    <row r="650" s="54" customFormat="1" ht="11.4" customHeight="1" x14ac:dyDescent="0.3"/>
    <row r="651" s="54" customFormat="1" ht="11.4" customHeight="1" x14ac:dyDescent="0.3"/>
    <row r="652" s="54" customFormat="1" ht="11.4" customHeight="1" x14ac:dyDescent="0.3"/>
    <row r="653" s="54" customFormat="1" ht="11.4" customHeight="1" x14ac:dyDescent="0.3"/>
    <row r="654" s="54" customFormat="1" ht="11.4" customHeight="1" x14ac:dyDescent="0.3"/>
    <row r="655" s="54" customFormat="1" ht="11.4" customHeight="1" x14ac:dyDescent="0.3"/>
    <row r="656" s="54" customFormat="1" ht="11.4" customHeight="1" x14ac:dyDescent="0.3"/>
    <row r="657" s="54" customFormat="1" ht="11.4" customHeight="1" x14ac:dyDescent="0.3"/>
    <row r="658" s="54" customFormat="1" ht="11.4" customHeight="1" x14ac:dyDescent="0.3"/>
    <row r="659" s="54" customFormat="1" ht="11.4" customHeight="1" x14ac:dyDescent="0.3"/>
    <row r="660" s="54" customFormat="1" ht="11.4" customHeight="1" x14ac:dyDescent="0.3"/>
    <row r="661" s="54" customFormat="1" ht="11.4" customHeight="1" x14ac:dyDescent="0.3"/>
    <row r="662" s="54" customFormat="1" ht="11.4" customHeight="1" x14ac:dyDescent="0.3"/>
    <row r="663" s="54" customFormat="1" ht="11.4" customHeight="1" x14ac:dyDescent="0.3"/>
    <row r="664" s="54" customFormat="1" ht="11.4" customHeight="1" x14ac:dyDescent="0.3"/>
    <row r="665" s="54" customFormat="1" ht="11.4" customHeight="1" x14ac:dyDescent="0.3"/>
    <row r="666" s="54" customFormat="1" ht="11.4" customHeight="1" x14ac:dyDescent="0.3"/>
    <row r="667" s="54" customFormat="1" ht="11.4" customHeight="1" x14ac:dyDescent="0.3"/>
    <row r="668" s="54" customFormat="1" ht="11.4" customHeight="1" x14ac:dyDescent="0.3"/>
    <row r="669" s="54" customFormat="1" ht="11.4" customHeight="1" x14ac:dyDescent="0.3"/>
    <row r="670" s="54" customFormat="1" ht="11.4" customHeight="1" x14ac:dyDescent="0.3"/>
    <row r="671" s="54" customFormat="1" ht="11.4" customHeight="1" x14ac:dyDescent="0.3"/>
    <row r="672" s="54" customFormat="1" ht="11.4" customHeight="1" x14ac:dyDescent="0.3"/>
    <row r="673" s="54" customFormat="1" ht="11.4" customHeight="1" x14ac:dyDescent="0.3"/>
    <row r="674" s="54" customFormat="1" ht="11.4" customHeight="1" x14ac:dyDescent="0.3"/>
    <row r="675" s="54" customFormat="1" ht="11.4" customHeight="1" x14ac:dyDescent="0.3"/>
    <row r="676" s="54" customFormat="1" ht="11.4" customHeight="1" x14ac:dyDescent="0.3"/>
    <row r="677" s="54" customFormat="1" ht="11.4" customHeight="1" x14ac:dyDescent="0.3"/>
    <row r="678" s="54" customFormat="1" ht="11.4" customHeight="1" x14ac:dyDescent="0.3"/>
    <row r="679" s="54" customFormat="1" ht="11.4" customHeight="1" x14ac:dyDescent="0.3"/>
    <row r="680" s="54" customFormat="1" ht="11.4" customHeight="1" x14ac:dyDescent="0.3"/>
    <row r="681" s="54" customFormat="1" ht="11.4" customHeight="1" x14ac:dyDescent="0.3"/>
    <row r="682" s="54" customFormat="1" ht="11.4" customHeight="1" x14ac:dyDescent="0.3"/>
    <row r="683" s="54" customFormat="1" ht="11.4" customHeight="1" x14ac:dyDescent="0.3"/>
    <row r="684" s="54" customFormat="1" ht="11.4" customHeight="1" x14ac:dyDescent="0.3"/>
    <row r="685" s="54" customFormat="1" ht="11.4" customHeight="1" x14ac:dyDescent="0.3"/>
    <row r="686" s="54" customFormat="1" ht="11.4" customHeight="1" x14ac:dyDescent="0.3"/>
    <row r="687" s="54" customFormat="1" ht="11.4" customHeight="1" x14ac:dyDescent="0.3"/>
    <row r="688" s="54" customFormat="1" ht="11.4" customHeight="1" x14ac:dyDescent="0.3"/>
    <row r="689" s="54" customFormat="1" ht="11.4" customHeight="1" x14ac:dyDescent="0.3"/>
    <row r="690" s="54" customFormat="1" ht="11.4" customHeight="1" x14ac:dyDescent="0.3"/>
    <row r="691" s="54" customFormat="1" ht="11.4" customHeight="1" x14ac:dyDescent="0.3"/>
    <row r="692" s="54" customFormat="1" ht="11.4" customHeight="1" x14ac:dyDescent="0.3"/>
    <row r="693" s="54" customFormat="1" ht="11.4" customHeight="1" x14ac:dyDescent="0.3"/>
    <row r="694" s="54" customFormat="1" ht="11.4" customHeight="1" x14ac:dyDescent="0.3"/>
    <row r="695" s="54" customFormat="1" ht="11.4" customHeight="1" x14ac:dyDescent="0.3"/>
    <row r="696" s="54" customFormat="1" ht="11.4" customHeight="1" x14ac:dyDescent="0.3"/>
    <row r="697" s="54" customFormat="1" ht="11.4" customHeight="1" x14ac:dyDescent="0.3"/>
    <row r="698" s="54" customFormat="1" ht="11.4" customHeight="1" x14ac:dyDescent="0.3"/>
    <row r="699" s="54" customFormat="1" ht="11.4" customHeight="1" x14ac:dyDescent="0.3"/>
    <row r="700" s="54" customFormat="1" ht="11.4" customHeight="1" x14ac:dyDescent="0.3"/>
    <row r="701" s="54" customFormat="1" ht="11.4" customHeight="1" x14ac:dyDescent="0.3"/>
    <row r="702" s="54" customFormat="1" ht="11.4" customHeight="1" x14ac:dyDescent="0.3"/>
    <row r="703" s="54" customFormat="1" ht="11.4" customHeight="1" x14ac:dyDescent="0.3"/>
    <row r="704" s="54" customFormat="1" ht="11.4" customHeight="1" x14ac:dyDescent="0.3"/>
    <row r="705" s="54" customFormat="1" ht="11.4" customHeight="1" x14ac:dyDescent="0.3"/>
    <row r="706" s="54" customFormat="1" ht="11.4" customHeight="1" x14ac:dyDescent="0.3"/>
    <row r="707" s="54" customFormat="1" ht="11.4" customHeight="1" x14ac:dyDescent="0.3"/>
    <row r="708" s="54" customFormat="1" ht="11.4" customHeight="1" x14ac:dyDescent="0.3"/>
    <row r="709" s="54" customFormat="1" ht="11.4" customHeight="1" x14ac:dyDescent="0.3"/>
    <row r="710" s="54" customFormat="1" ht="11.4" customHeight="1" x14ac:dyDescent="0.3"/>
    <row r="711" s="54" customFormat="1" ht="11.4" customHeight="1" x14ac:dyDescent="0.3"/>
    <row r="712" s="54" customFormat="1" ht="11.4" customHeight="1" x14ac:dyDescent="0.3"/>
    <row r="713" s="54" customFormat="1" ht="11.4" customHeight="1" x14ac:dyDescent="0.3"/>
    <row r="714" s="54" customFormat="1" ht="11.4" customHeight="1" x14ac:dyDescent="0.3"/>
    <row r="715" s="54" customFormat="1" ht="11.4" customHeight="1" x14ac:dyDescent="0.3"/>
    <row r="716" s="54" customFormat="1" ht="11.4" customHeight="1" x14ac:dyDescent="0.3"/>
    <row r="717" s="54" customFormat="1" ht="11.4" customHeight="1" x14ac:dyDescent="0.3"/>
    <row r="718" s="54" customFormat="1" ht="11.4" customHeight="1" x14ac:dyDescent="0.3"/>
    <row r="719" s="54" customFormat="1" ht="11.4" customHeight="1" x14ac:dyDescent="0.3"/>
    <row r="720" s="54" customFormat="1" ht="11.4" customHeight="1" x14ac:dyDescent="0.3"/>
    <row r="721" s="54" customFormat="1" ht="11.4" customHeight="1" x14ac:dyDescent="0.3"/>
    <row r="722" s="54" customFormat="1" ht="11.4" customHeight="1" x14ac:dyDescent="0.3"/>
    <row r="723" s="54" customFormat="1" ht="11.4" customHeight="1" x14ac:dyDescent="0.3"/>
    <row r="724" s="54" customFormat="1" ht="11.4" customHeight="1" x14ac:dyDescent="0.3"/>
    <row r="725" s="54" customFormat="1" ht="11.4" customHeight="1" x14ac:dyDescent="0.3"/>
    <row r="726" s="54" customFormat="1" ht="11.4" customHeight="1" x14ac:dyDescent="0.3"/>
    <row r="727" s="54" customFormat="1" ht="11.4" customHeight="1" x14ac:dyDescent="0.3"/>
    <row r="728" s="54" customFormat="1" ht="11.4" customHeight="1" x14ac:dyDescent="0.3"/>
    <row r="729" s="54" customFormat="1" ht="11.4" customHeight="1" x14ac:dyDescent="0.3"/>
    <row r="730" s="54" customFormat="1" ht="11.4" customHeight="1" x14ac:dyDescent="0.3"/>
    <row r="731" s="54" customFormat="1" ht="11.4" customHeight="1" x14ac:dyDescent="0.3"/>
    <row r="732" s="54" customFormat="1" ht="11.4" customHeight="1" x14ac:dyDescent="0.3"/>
    <row r="733" s="54" customFormat="1" ht="11.4" customHeight="1" x14ac:dyDescent="0.3"/>
    <row r="734" s="54" customFormat="1" ht="11.4" customHeight="1" x14ac:dyDescent="0.3"/>
    <row r="735" s="54" customFormat="1" ht="11.4" customHeight="1" x14ac:dyDescent="0.3"/>
    <row r="736" s="54" customFormat="1" ht="11.4" customHeight="1" x14ac:dyDescent="0.3"/>
    <row r="737" s="54" customFormat="1" ht="11.4" customHeight="1" x14ac:dyDescent="0.3"/>
    <row r="738" s="54" customFormat="1" ht="11.4" customHeight="1" x14ac:dyDescent="0.3"/>
    <row r="739" s="54" customFormat="1" ht="11.4" customHeight="1" x14ac:dyDescent="0.3"/>
    <row r="740" s="54" customFormat="1" ht="11.4" customHeight="1" x14ac:dyDescent="0.3"/>
    <row r="741" s="54" customFormat="1" ht="11.4" customHeight="1" x14ac:dyDescent="0.3"/>
    <row r="742" s="54" customFormat="1" ht="11.4" customHeight="1" x14ac:dyDescent="0.3"/>
    <row r="743" s="54" customFormat="1" ht="11.4" customHeight="1" x14ac:dyDescent="0.3"/>
    <row r="744" s="54" customFormat="1" ht="11.4" customHeight="1" x14ac:dyDescent="0.3"/>
    <row r="745" s="54" customFormat="1" ht="11.4" customHeight="1" x14ac:dyDescent="0.3"/>
    <row r="746" s="54" customFormat="1" ht="11.4" customHeight="1" x14ac:dyDescent="0.3"/>
    <row r="747" s="54" customFormat="1" ht="11.4" customHeight="1" x14ac:dyDescent="0.3"/>
    <row r="748" s="54" customFormat="1" ht="11.4" customHeight="1" x14ac:dyDescent="0.3"/>
    <row r="749" s="54" customFormat="1" ht="11.4" customHeight="1" x14ac:dyDescent="0.3"/>
    <row r="750" s="54" customFormat="1" ht="11.4" customHeight="1" x14ac:dyDescent="0.3"/>
    <row r="751" s="54" customFormat="1" ht="11.4" customHeight="1" x14ac:dyDescent="0.3"/>
    <row r="752" s="54" customFormat="1" ht="11.4" customHeight="1" x14ac:dyDescent="0.3"/>
    <row r="753" s="54" customFormat="1" ht="11.4" customHeight="1" x14ac:dyDescent="0.3"/>
    <row r="754" s="54" customFormat="1" ht="11.4" customHeight="1" x14ac:dyDescent="0.3"/>
    <row r="755" s="54" customFormat="1" ht="11.4" customHeight="1" x14ac:dyDescent="0.3"/>
    <row r="756" s="54" customFormat="1" ht="11.4" customHeight="1" x14ac:dyDescent="0.3"/>
    <row r="757" s="54" customFormat="1" ht="11.4" customHeight="1" x14ac:dyDescent="0.3"/>
    <row r="758" s="54" customFormat="1" ht="11.4" customHeight="1" x14ac:dyDescent="0.3"/>
    <row r="759" s="54" customFormat="1" ht="11.4" customHeight="1" x14ac:dyDescent="0.3"/>
    <row r="760" s="54" customFormat="1" ht="11.4" customHeight="1" x14ac:dyDescent="0.3"/>
    <row r="761" s="54" customFormat="1" ht="11.4" customHeight="1" x14ac:dyDescent="0.3"/>
    <row r="762" s="54" customFormat="1" ht="11.4" customHeight="1" x14ac:dyDescent="0.3"/>
    <row r="763" s="54" customFormat="1" ht="11.4" customHeight="1" x14ac:dyDescent="0.3"/>
    <row r="764" s="54" customFormat="1" ht="11.4" customHeight="1" x14ac:dyDescent="0.3"/>
    <row r="765" s="54" customFormat="1" ht="11.4" customHeight="1" x14ac:dyDescent="0.3"/>
    <row r="766" s="54" customFormat="1" ht="11.4" customHeight="1" x14ac:dyDescent="0.3"/>
    <row r="767" s="54" customFormat="1" ht="11.4" customHeight="1" x14ac:dyDescent="0.3"/>
    <row r="768" s="54" customFormat="1" ht="11.4" customHeight="1" x14ac:dyDescent="0.3"/>
    <row r="769" s="54" customFormat="1" ht="11.4" customHeight="1" x14ac:dyDescent="0.3"/>
    <row r="770" s="54" customFormat="1" ht="11.4" customHeight="1" x14ac:dyDescent="0.3"/>
    <row r="771" s="54" customFormat="1" ht="11.4" customHeight="1" x14ac:dyDescent="0.3"/>
    <row r="772" s="54" customFormat="1" ht="11.4" customHeight="1" x14ac:dyDescent="0.3"/>
    <row r="773" s="54" customFormat="1" ht="11.4" customHeight="1" x14ac:dyDescent="0.3"/>
    <row r="774" s="54" customFormat="1" ht="11.4" customHeight="1" x14ac:dyDescent="0.3"/>
    <row r="775" s="54" customFormat="1" ht="11.4" customHeight="1" x14ac:dyDescent="0.3"/>
    <row r="776" s="54" customFormat="1" ht="11.4" customHeight="1" x14ac:dyDescent="0.3"/>
    <row r="777" s="54" customFormat="1" ht="11.4" customHeight="1" x14ac:dyDescent="0.3"/>
    <row r="778" s="54" customFormat="1" ht="11.4" customHeight="1" x14ac:dyDescent="0.3"/>
    <row r="779" s="54" customFormat="1" ht="11.4" customHeight="1" x14ac:dyDescent="0.3"/>
    <row r="780" s="54" customFormat="1" ht="11.4" customHeight="1" x14ac:dyDescent="0.3"/>
    <row r="781" s="54" customFormat="1" ht="11.4" customHeight="1" x14ac:dyDescent="0.3"/>
    <row r="782" s="54" customFormat="1" ht="11.4" customHeight="1" x14ac:dyDescent="0.3"/>
    <row r="783" s="54" customFormat="1" ht="11.4" customHeight="1" x14ac:dyDescent="0.3"/>
    <row r="784" s="54" customFormat="1" ht="11.4" customHeight="1" x14ac:dyDescent="0.3"/>
    <row r="785" s="54" customFormat="1" ht="11.4" customHeight="1" x14ac:dyDescent="0.3"/>
    <row r="786" s="54" customFormat="1" ht="11.4" customHeight="1" x14ac:dyDescent="0.3"/>
    <row r="787" s="54" customFormat="1" ht="11.4" customHeight="1" x14ac:dyDescent="0.3"/>
    <row r="788" s="54" customFormat="1" ht="11.4" customHeight="1" x14ac:dyDescent="0.3"/>
    <row r="789" s="54" customFormat="1" ht="11.4" customHeight="1" x14ac:dyDescent="0.3"/>
    <row r="790" s="54" customFormat="1" ht="11.4" customHeight="1" x14ac:dyDescent="0.3"/>
    <row r="791" s="54" customFormat="1" ht="11.4" customHeight="1" x14ac:dyDescent="0.3"/>
    <row r="792" s="54" customFormat="1" ht="11.4" customHeight="1" x14ac:dyDescent="0.3"/>
    <row r="793" s="54" customFormat="1" ht="11.4" customHeight="1" x14ac:dyDescent="0.3"/>
    <row r="794" s="54" customFormat="1" ht="11.4" customHeight="1" x14ac:dyDescent="0.3"/>
    <row r="795" s="54" customFormat="1" ht="11.4" customHeight="1" x14ac:dyDescent="0.3"/>
    <row r="796" s="54" customFormat="1" ht="11.4" customHeight="1" x14ac:dyDescent="0.3"/>
    <row r="797" s="54" customFormat="1" ht="11.4" customHeight="1" x14ac:dyDescent="0.3"/>
    <row r="798" s="54" customFormat="1" ht="11.4" customHeight="1" x14ac:dyDescent="0.3"/>
    <row r="799" s="54" customFormat="1" ht="11.4" customHeight="1" x14ac:dyDescent="0.3"/>
    <row r="800" s="54" customFormat="1" ht="11.4" customHeight="1" x14ac:dyDescent="0.3"/>
    <row r="801" s="54" customFormat="1" ht="11.4" customHeight="1" x14ac:dyDescent="0.3"/>
    <row r="802" s="54" customFormat="1" ht="11.4" customHeight="1" x14ac:dyDescent="0.3"/>
    <row r="803" s="54" customFormat="1" ht="11.4" customHeight="1" x14ac:dyDescent="0.3"/>
    <row r="804" s="54" customFormat="1" ht="11.4" customHeight="1" x14ac:dyDescent="0.3"/>
    <row r="805" s="54" customFormat="1" ht="11.4" customHeight="1" x14ac:dyDescent="0.3"/>
    <row r="806" s="54" customFormat="1" ht="11.4" customHeight="1" x14ac:dyDescent="0.3"/>
    <row r="807" s="54" customFormat="1" ht="11.4" customHeight="1" x14ac:dyDescent="0.3"/>
    <row r="808" s="54" customFormat="1" ht="11.4" customHeight="1" x14ac:dyDescent="0.3"/>
    <row r="809" s="54" customFormat="1" ht="11.4" customHeight="1" x14ac:dyDescent="0.3"/>
    <row r="810" s="54" customFormat="1" ht="11.4" customHeight="1" x14ac:dyDescent="0.3"/>
    <row r="811" s="54" customFormat="1" ht="11.4" customHeight="1" x14ac:dyDescent="0.3"/>
    <row r="812" s="54" customFormat="1" ht="11.4" customHeight="1" x14ac:dyDescent="0.3"/>
    <row r="813" s="54" customFormat="1" ht="11.4" customHeight="1" x14ac:dyDescent="0.3"/>
    <row r="814" s="54" customFormat="1" ht="11.4" customHeight="1" x14ac:dyDescent="0.3"/>
    <row r="815" s="54" customFormat="1" ht="11.4" customHeight="1" x14ac:dyDescent="0.3"/>
    <row r="816" s="54" customFormat="1" ht="11.4" customHeight="1" x14ac:dyDescent="0.3"/>
    <row r="817" s="54" customFormat="1" ht="11.4" customHeight="1" x14ac:dyDescent="0.3"/>
    <row r="818" s="54" customFormat="1" ht="11.4" customHeight="1" x14ac:dyDescent="0.3"/>
    <row r="819" s="54" customFormat="1" ht="11.4" customHeight="1" x14ac:dyDescent="0.3"/>
    <row r="820" s="54" customFormat="1" ht="11.4" customHeight="1" x14ac:dyDescent="0.3"/>
    <row r="821" s="54" customFormat="1" ht="11.4" customHeight="1" x14ac:dyDescent="0.3"/>
    <row r="822" s="54" customFormat="1" ht="11.4" customHeight="1" x14ac:dyDescent="0.3"/>
    <row r="823" s="54" customFormat="1" ht="11.4" customHeight="1" x14ac:dyDescent="0.3"/>
    <row r="824" s="54" customFormat="1" ht="11.4" customHeight="1" x14ac:dyDescent="0.3"/>
    <row r="825" s="54" customFormat="1" ht="11.4" customHeight="1" x14ac:dyDescent="0.3"/>
    <row r="826" s="54" customFormat="1" ht="11.4" customHeight="1" x14ac:dyDescent="0.3"/>
    <row r="827" s="54" customFormat="1" ht="11.4" customHeight="1" x14ac:dyDescent="0.3"/>
    <row r="828" s="54" customFormat="1" ht="11.4" customHeight="1" x14ac:dyDescent="0.3"/>
    <row r="829" s="54" customFormat="1" ht="11.4" customHeight="1" x14ac:dyDescent="0.3"/>
    <row r="830" s="54" customFormat="1" ht="11.4" customHeight="1" x14ac:dyDescent="0.3"/>
    <row r="831" s="54" customFormat="1" ht="11.4" customHeight="1" x14ac:dyDescent="0.3"/>
    <row r="832" s="54" customFormat="1" ht="11.4" customHeight="1" x14ac:dyDescent="0.3"/>
    <row r="833" s="54" customFormat="1" ht="11.4" customHeight="1" x14ac:dyDescent="0.3"/>
    <row r="834" s="54" customFormat="1" ht="11.4" customHeight="1" x14ac:dyDescent="0.3"/>
    <row r="835" s="54" customFormat="1" ht="11.4" customHeight="1" x14ac:dyDescent="0.3"/>
    <row r="836" s="54" customFormat="1" ht="11.4" customHeight="1" x14ac:dyDescent="0.3"/>
    <row r="837" s="54" customFormat="1" ht="11.4" customHeight="1" x14ac:dyDescent="0.3"/>
    <row r="838" s="54" customFormat="1" ht="11.4" customHeight="1" x14ac:dyDescent="0.3"/>
    <row r="839" s="54" customFormat="1" ht="11.4" customHeight="1" x14ac:dyDescent="0.3"/>
    <row r="840" s="54" customFormat="1" ht="11.4" customHeight="1" x14ac:dyDescent="0.3"/>
    <row r="841" s="54" customFormat="1" ht="11.4" customHeight="1" x14ac:dyDescent="0.3"/>
    <row r="842" s="54" customFormat="1" ht="11.4" customHeight="1" x14ac:dyDescent="0.3"/>
    <row r="843" s="54" customFormat="1" ht="11.4" customHeight="1" x14ac:dyDescent="0.3"/>
    <row r="844" s="54" customFormat="1" ht="11.4" customHeight="1" x14ac:dyDescent="0.3"/>
    <row r="845" s="54" customFormat="1" ht="11.4" customHeight="1" x14ac:dyDescent="0.3"/>
    <row r="846" s="54" customFormat="1" ht="11.4" customHeight="1" x14ac:dyDescent="0.3"/>
    <row r="847" s="54" customFormat="1" ht="11.4" customHeight="1" x14ac:dyDescent="0.3"/>
    <row r="848" s="54" customFormat="1" ht="11.4" customHeight="1" x14ac:dyDescent="0.3"/>
    <row r="849" s="54" customFormat="1" ht="11.4" customHeight="1" x14ac:dyDescent="0.3"/>
    <row r="850" s="54" customFormat="1" ht="11.4" customHeight="1" x14ac:dyDescent="0.3"/>
    <row r="851" s="54" customFormat="1" ht="11.4" customHeight="1" x14ac:dyDescent="0.3"/>
    <row r="852" s="54" customFormat="1" ht="11.4" customHeight="1" x14ac:dyDescent="0.3"/>
    <row r="853" s="54" customFormat="1" ht="11.4" customHeight="1" x14ac:dyDescent="0.3"/>
    <row r="854" s="54" customFormat="1" ht="11.4" customHeight="1" x14ac:dyDescent="0.3"/>
    <row r="855" s="54" customFormat="1" ht="11.4" customHeight="1" x14ac:dyDescent="0.3"/>
    <row r="856" s="54" customFormat="1" ht="11.4" customHeight="1" x14ac:dyDescent="0.3"/>
    <row r="857" s="54" customFormat="1" ht="11.4" customHeight="1" x14ac:dyDescent="0.3"/>
    <row r="858" s="54" customFormat="1" ht="11.4" customHeight="1" x14ac:dyDescent="0.3"/>
    <row r="859" s="54" customFormat="1" ht="11.4" customHeight="1" x14ac:dyDescent="0.3"/>
    <row r="860" s="54" customFormat="1" ht="11.4" customHeight="1" x14ac:dyDescent="0.3"/>
    <row r="861" s="54" customFormat="1" ht="11.4" customHeight="1" x14ac:dyDescent="0.3"/>
    <row r="862" s="54" customFormat="1" ht="11.4" customHeight="1" x14ac:dyDescent="0.3"/>
    <row r="863" s="54" customFormat="1" ht="11.4" customHeight="1" x14ac:dyDescent="0.3"/>
    <row r="864" s="54" customFormat="1" ht="11.4" customHeight="1" x14ac:dyDescent="0.3"/>
    <row r="865" s="54" customFormat="1" ht="11.4" customHeight="1" x14ac:dyDescent="0.3"/>
    <row r="866" s="54" customFormat="1" ht="11.4" customHeight="1" x14ac:dyDescent="0.3"/>
    <row r="867" s="54" customFormat="1" ht="11.4" customHeight="1" x14ac:dyDescent="0.3"/>
    <row r="868" s="54" customFormat="1" ht="11.4" customHeight="1" x14ac:dyDescent="0.3"/>
    <row r="869" s="54" customFormat="1" ht="11.4" customHeight="1" x14ac:dyDescent="0.3"/>
    <row r="870" s="54" customFormat="1" ht="11.4" customHeight="1" x14ac:dyDescent="0.3"/>
    <row r="871" s="54" customFormat="1" ht="11.4" customHeight="1" x14ac:dyDescent="0.3"/>
    <row r="872" s="54" customFormat="1" ht="11.4" customHeight="1" x14ac:dyDescent="0.3"/>
    <row r="873" s="54" customFormat="1" ht="11.4" customHeight="1" x14ac:dyDescent="0.3"/>
    <row r="874" s="54" customFormat="1" ht="11.4" customHeight="1" x14ac:dyDescent="0.3"/>
    <row r="875" s="54" customFormat="1" ht="11.4" customHeight="1" x14ac:dyDescent="0.3"/>
    <row r="876" s="54" customFormat="1" ht="11.4" customHeight="1" x14ac:dyDescent="0.3"/>
    <row r="877" s="54" customFormat="1" ht="11.4" customHeight="1" x14ac:dyDescent="0.3"/>
    <row r="878" s="54" customFormat="1" ht="11.4" customHeight="1" x14ac:dyDescent="0.3"/>
    <row r="879" s="54" customFormat="1" ht="11.4" customHeight="1" x14ac:dyDescent="0.3"/>
    <row r="880" s="54" customFormat="1" ht="11.4" customHeight="1" x14ac:dyDescent="0.3"/>
    <row r="881" s="54" customFormat="1" ht="11.4" customHeight="1" x14ac:dyDescent="0.3"/>
    <row r="882" s="54" customFormat="1" ht="11.4" customHeight="1" x14ac:dyDescent="0.3"/>
    <row r="883" s="54" customFormat="1" ht="11.4" customHeight="1" x14ac:dyDescent="0.3"/>
    <row r="884" s="54" customFormat="1" ht="11.4" customHeight="1" x14ac:dyDescent="0.3"/>
    <row r="885" s="54" customFormat="1" ht="11.4" customHeight="1" x14ac:dyDescent="0.3"/>
    <row r="886" s="54" customFormat="1" ht="11.4" customHeight="1" x14ac:dyDescent="0.3"/>
    <row r="887" s="54" customFormat="1" ht="11.4" customHeight="1" x14ac:dyDescent="0.3"/>
    <row r="888" s="54" customFormat="1" ht="11.4" customHeight="1" x14ac:dyDescent="0.3"/>
    <row r="889" s="54" customFormat="1" ht="11.4" customHeight="1" x14ac:dyDescent="0.3"/>
    <row r="890" s="54" customFormat="1" ht="11.4" customHeight="1" x14ac:dyDescent="0.3"/>
    <row r="891" s="54" customFormat="1" ht="11.4" customHeight="1" x14ac:dyDescent="0.3"/>
    <row r="892" s="54" customFormat="1" ht="11.4" customHeight="1" x14ac:dyDescent="0.3"/>
    <row r="893" s="54" customFormat="1" ht="11.4" customHeight="1" x14ac:dyDescent="0.3"/>
    <row r="894" s="54" customFormat="1" ht="11.4" customHeight="1" x14ac:dyDescent="0.3"/>
    <row r="895" s="54" customFormat="1" ht="11.4" customHeight="1" x14ac:dyDescent="0.3"/>
    <row r="896" s="54" customFormat="1" ht="11.4" customHeight="1" x14ac:dyDescent="0.3"/>
    <row r="897" s="54" customFormat="1" ht="11.4" customHeight="1" x14ac:dyDescent="0.3"/>
    <row r="898" s="54" customFormat="1" ht="11.4" customHeight="1" x14ac:dyDescent="0.3"/>
    <row r="899" s="54" customFormat="1" ht="11.4" customHeight="1" x14ac:dyDescent="0.3"/>
    <row r="900" s="54" customFormat="1" ht="11.4" customHeight="1" x14ac:dyDescent="0.3"/>
    <row r="901" s="54" customFormat="1" ht="11.4" customHeight="1" x14ac:dyDescent="0.3"/>
    <row r="902" s="54" customFormat="1" ht="11.4" customHeight="1" x14ac:dyDescent="0.3"/>
    <row r="903" s="54" customFormat="1" ht="11.4" customHeight="1" x14ac:dyDescent="0.3"/>
    <row r="904" s="54" customFormat="1" ht="11.4" customHeight="1" x14ac:dyDescent="0.3"/>
    <row r="905" s="54" customFormat="1" ht="11.4" customHeight="1" x14ac:dyDescent="0.3"/>
    <row r="906" s="54" customFormat="1" ht="11.4" customHeight="1" x14ac:dyDescent="0.3"/>
    <row r="907" s="54" customFormat="1" ht="11.4" customHeight="1" x14ac:dyDescent="0.3"/>
    <row r="908" s="54" customFormat="1" ht="11.4" customHeight="1" x14ac:dyDescent="0.3"/>
    <row r="909" s="54" customFormat="1" ht="11.4" customHeight="1" x14ac:dyDescent="0.3"/>
    <row r="910" s="54" customFormat="1" ht="11.4" customHeight="1" x14ac:dyDescent="0.3"/>
    <row r="911" s="54" customFormat="1" ht="11.4" customHeight="1" x14ac:dyDescent="0.3"/>
    <row r="912" s="54" customFormat="1" ht="11.4" customHeight="1" x14ac:dyDescent="0.3"/>
    <row r="913" s="54" customFormat="1" ht="11.4" customHeight="1" x14ac:dyDescent="0.3"/>
    <row r="914" s="54" customFormat="1" ht="11.4" customHeight="1" x14ac:dyDescent="0.3"/>
    <row r="915" s="54" customFormat="1" ht="11.4" customHeight="1" x14ac:dyDescent="0.3"/>
    <row r="916" s="54" customFormat="1" ht="11.4" customHeight="1" x14ac:dyDescent="0.3"/>
    <row r="917" s="54" customFormat="1" ht="11.4" customHeight="1" x14ac:dyDescent="0.3"/>
    <row r="918" s="54" customFormat="1" ht="11.4" customHeight="1" x14ac:dyDescent="0.3"/>
    <row r="919" s="54" customFormat="1" ht="11.4" customHeight="1" x14ac:dyDescent="0.3"/>
    <row r="920" s="54" customFormat="1" ht="11.4" customHeight="1" x14ac:dyDescent="0.3"/>
    <row r="921" s="54" customFormat="1" ht="11.4" customHeight="1" x14ac:dyDescent="0.3"/>
    <row r="922" s="54" customFormat="1" ht="11.4" customHeight="1" x14ac:dyDescent="0.3"/>
    <row r="923" s="54" customFormat="1" ht="11.4" customHeight="1" x14ac:dyDescent="0.3"/>
    <row r="924" s="54" customFormat="1" ht="11.4" customHeight="1" x14ac:dyDescent="0.3"/>
    <row r="925" s="54" customFormat="1" ht="11.4" customHeight="1" x14ac:dyDescent="0.3"/>
    <row r="926" s="54" customFormat="1" ht="11.4" customHeight="1" x14ac:dyDescent="0.3"/>
    <row r="927" s="54" customFormat="1" ht="11.4" customHeight="1" x14ac:dyDescent="0.3"/>
    <row r="928" s="54" customFormat="1" ht="11.4" customHeight="1" x14ac:dyDescent="0.3"/>
    <row r="929" s="54" customFormat="1" ht="11.4" customHeight="1" x14ac:dyDescent="0.3"/>
    <row r="930" s="54" customFormat="1" ht="11.4" customHeight="1" x14ac:dyDescent="0.3"/>
    <row r="931" s="54" customFormat="1" ht="11.4" customHeight="1" x14ac:dyDescent="0.3"/>
    <row r="932" s="54" customFormat="1" ht="11.4" customHeight="1" x14ac:dyDescent="0.3"/>
    <row r="933" s="54" customFormat="1" ht="11.4" customHeight="1" x14ac:dyDescent="0.3"/>
    <row r="934" s="54" customFormat="1" ht="11.4" customHeight="1" x14ac:dyDescent="0.3"/>
    <row r="935" s="54" customFormat="1" ht="11.4" customHeight="1" x14ac:dyDescent="0.3"/>
    <row r="936" s="54" customFormat="1" ht="11.4" customHeight="1" x14ac:dyDescent="0.3"/>
    <row r="937" s="54" customFormat="1" ht="11.4" customHeight="1" x14ac:dyDescent="0.3"/>
    <row r="938" s="54" customFormat="1" ht="11.4" customHeight="1" x14ac:dyDescent="0.3"/>
    <row r="939" s="54" customFormat="1" ht="11.4" customHeight="1" x14ac:dyDescent="0.3"/>
    <row r="940" s="54" customFormat="1" ht="11.4" customHeight="1" x14ac:dyDescent="0.3"/>
    <row r="941" s="54" customFormat="1" ht="11.4" customHeight="1" x14ac:dyDescent="0.3"/>
    <row r="942" s="54" customFormat="1" ht="11.4" customHeight="1" x14ac:dyDescent="0.3"/>
    <row r="943" s="54" customFormat="1" ht="11.4" customHeight="1" x14ac:dyDescent="0.3"/>
    <row r="944" s="54" customFormat="1" ht="11.4" customHeight="1" x14ac:dyDescent="0.3"/>
    <row r="945" s="54" customFormat="1" ht="11.4" customHeight="1" x14ac:dyDescent="0.3"/>
    <row r="946" s="54" customFormat="1" ht="11.4" customHeight="1" x14ac:dyDescent="0.3"/>
    <row r="947" s="54" customFormat="1" ht="11.4" customHeight="1" x14ac:dyDescent="0.3"/>
    <row r="948" s="54" customFormat="1" ht="11.4" customHeight="1" x14ac:dyDescent="0.3"/>
    <row r="949" s="54" customFormat="1" ht="11.4" customHeight="1" x14ac:dyDescent="0.3"/>
    <row r="950" s="54" customFormat="1" ht="11.4" customHeight="1" x14ac:dyDescent="0.3"/>
    <row r="951" s="54" customFormat="1" ht="11.4" customHeight="1" x14ac:dyDescent="0.3"/>
    <row r="952" s="54" customFormat="1" ht="11.4" customHeight="1" x14ac:dyDescent="0.3"/>
    <row r="953" s="54" customFormat="1" ht="11.4" customHeight="1" x14ac:dyDescent="0.3"/>
    <row r="954" s="54" customFormat="1" ht="11.4" customHeight="1" x14ac:dyDescent="0.3"/>
    <row r="955" s="54" customFormat="1" ht="11.4" customHeight="1" x14ac:dyDescent="0.3"/>
    <row r="956" s="54" customFormat="1" ht="11.4" customHeight="1" x14ac:dyDescent="0.3"/>
    <row r="957" s="54" customFormat="1" ht="11.4" customHeight="1" x14ac:dyDescent="0.3"/>
    <row r="958" s="54" customFormat="1" ht="11.4" customHeight="1" x14ac:dyDescent="0.3"/>
    <row r="959" s="54" customFormat="1" ht="11.4" customHeight="1" x14ac:dyDescent="0.3"/>
    <row r="960" s="54" customFormat="1" ht="11.4" customHeight="1" x14ac:dyDescent="0.3"/>
    <row r="961" s="54" customFormat="1" ht="11.4" customHeight="1" x14ac:dyDescent="0.3"/>
    <row r="962" s="54" customFormat="1" ht="11.4" customHeight="1" x14ac:dyDescent="0.3"/>
    <row r="963" s="54" customFormat="1" ht="11.4" customHeight="1" x14ac:dyDescent="0.3"/>
    <row r="964" s="54" customFormat="1" ht="11.4" customHeight="1" x14ac:dyDescent="0.3"/>
    <row r="965" s="54" customFormat="1" ht="11.4" customHeight="1" x14ac:dyDescent="0.3"/>
    <row r="966" s="54" customFormat="1" ht="11.4" customHeight="1" x14ac:dyDescent="0.3"/>
    <row r="967" s="54" customFormat="1" ht="11.4" customHeight="1" x14ac:dyDescent="0.3"/>
    <row r="968" s="54" customFormat="1" ht="11.4" customHeight="1" x14ac:dyDescent="0.3"/>
    <row r="969" s="54" customFormat="1" ht="11.4" customHeight="1" x14ac:dyDescent="0.3"/>
    <row r="970" s="54" customFormat="1" ht="11.4" customHeight="1" x14ac:dyDescent="0.3"/>
    <row r="971" s="54" customFormat="1" ht="11.4" customHeight="1" x14ac:dyDescent="0.3"/>
    <row r="972" s="54" customFormat="1" ht="11.4" customHeight="1" x14ac:dyDescent="0.3"/>
    <row r="973" s="54" customFormat="1" ht="11.4" customHeight="1" x14ac:dyDescent="0.3"/>
    <row r="974" s="54" customFormat="1" ht="11.4" customHeight="1" x14ac:dyDescent="0.3"/>
    <row r="975" s="54" customFormat="1" ht="11.4" customHeight="1" x14ac:dyDescent="0.3"/>
    <row r="976" s="54" customFormat="1" ht="11.4" customHeight="1" x14ac:dyDescent="0.3"/>
    <row r="977" s="54" customFormat="1" ht="11.4" customHeight="1" x14ac:dyDescent="0.3"/>
    <row r="978" s="54" customFormat="1" ht="11.4" customHeight="1" x14ac:dyDescent="0.3"/>
    <row r="979" s="54" customFormat="1" ht="11.4" customHeight="1" x14ac:dyDescent="0.3"/>
    <row r="980" s="54" customFormat="1" ht="11.4" customHeight="1" x14ac:dyDescent="0.3"/>
    <row r="981" s="54" customFormat="1" ht="11.4" customHeight="1" x14ac:dyDescent="0.3"/>
    <row r="982" s="54" customFormat="1" ht="11.4" customHeight="1" x14ac:dyDescent="0.3"/>
    <row r="983" s="54" customFormat="1" ht="11.4" customHeight="1" x14ac:dyDescent="0.3"/>
    <row r="984" s="54" customFormat="1" ht="11.4" customHeight="1" x14ac:dyDescent="0.3"/>
    <row r="985" s="54" customFormat="1" ht="11.4" customHeight="1" x14ac:dyDescent="0.3"/>
    <row r="986" s="54" customFormat="1" ht="11.4" customHeight="1" x14ac:dyDescent="0.3"/>
    <row r="987" s="54" customFormat="1" ht="11.4" customHeight="1" x14ac:dyDescent="0.3"/>
    <row r="988" s="54" customFormat="1" ht="11.4" customHeight="1" x14ac:dyDescent="0.3"/>
    <row r="989" s="54" customFormat="1" ht="11.4" customHeight="1" x14ac:dyDescent="0.3"/>
    <row r="990" s="54" customFormat="1" ht="11.4" customHeight="1" x14ac:dyDescent="0.3"/>
    <row r="991" s="54" customFormat="1" ht="11.4" customHeight="1" x14ac:dyDescent="0.3"/>
    <row r="992" s="54" customFormat="1" ht="11.4" customHeight="1" x14ac:dyDescent="0.3"/>
    <row r="993" s="54" customFormat="1" ht="11.4" customHeight="1" x14ac:dyDescent="0.3"/>
    <row r="994" s="54" customFormat="1" ht="11.4" customHeight="1" x14ac:dyDescent="0.3"/>
    <row r="995" s="54" customFormat="1" ht="11.4" customHeight="1" x14ac:dyDescent="0.3"/>
    <row r="996" s="54" customFormat="1" ht="11.4" customHeight="1" x14ac:dyDescent="0.3"/>
    <row r="997" s="54" customFormat="1" ht="11.4" customHeight="1" x14ac:dyDescent="0.3"/>
    <row r="998" s="54" customFormat="1" ht="11.4" customHeight="1" x14ac:dyDescent="0.3"/>
  </sheetData>
  <mergeCells count="2">
    <mergeCell ref="B3:G3"/>
    <mergeCell ref="G6:R20"/>
  </mergeCells>
  <conditionalFormatting sqref="C10">
    <cfRule type="notContainsBlanks" dxfId="0" priority="1">
      <formula>LEN(TRIM(C10))&gt;0</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9"/>
  <sheetViews>
    <sheetView showGridLines="0" zoomScale="70" zoomScaleNormal="70" workbookViewId="0">
      <selection activeCell="M11" sqref="M11"/>
    </sheetView>
  </sheetViews>
  <sheetFormatPr defaultColWidth="14.44140625" defaultRowHeight="14.4" x14ac:dyDescent="0.3"/>
  <cols>
    <col min="1" max="1" width="3" style="54" customWidth="1"/>
    <col min="2" max="2" width="38.88671875" style="54" customWidth="1"/>
    <col min="3" max="4" width="18" style="54" customWidth="1"/>
    <col min="5" max="5" width="29.6640625" style="54" customWidth="1"/>
    <col min="6" max="6" width="35" style="54" customWidth="1"/>
    <col min="7" max="8" width="8.6640625" style="54" customWidth="1"/>
    <col min="9" max="9" width="38.109375" style="54" customWidth="1"/>
    <col min="10" max="12" width="8.6640625" style="54" customWidth="1"/>
    <col min="13" max="13" width="17.33203125" style="54" customWidth="1"/>
    <col min="14" max="14" width="12.44140625" style="54" customWidth="1"/>
    <col min="15" max="15" width="16.33203125" style="54" customWidth="1"/>
    <col min="16" max="26" width="8.6640625" style="54" customWidth="1"/>
  </cols>
  <sheetData>
    <row r="1" spans="1:26" s="54" customFormat="1" ht="14.25" customHeight="1" x14ac:dyDescent="0.3">
      <c r="A1" s="14"/>
      <c r="B1" s="14"/>
      <c r="C1" s="14"/>
      <c r="D1" s="14"/>
      <c r="E1" s="14"/>
      <c r="F1" s="14"/>
      <c r="G1" s="14"/>
      <c r="H1" s="14"/>
      <c r="I1" s="14"/>
      <c r="J1" s="14"/>
      <c r="K1" s="14"/>
      <c r="L1" s="14"/>
      <c r="M1" s="14"/>
      <c r="N1" s="14"/>
      <c r="O1" s="14"/>
      <c r="P1" s="14"/>
      <c r="Q1" s="14"/>
      <c r="R1" s="14"/>
      <c r="S1" s="14"/>
      <c r="T1" s="14"/>
      <c r="U1" s="14"/>
      <c r="V1" s="14"/>
      <c r="W1" s="14"/>
      <c r="X1" s="14"/>
      <c r="Y1" s="14"/>
      <c r="Z1" s="14"/>
    </row>
    <row r="2" spans="1:26" s="54" customFormat="1" ht="14.25" customHeight="1" x14ac:dyDescent="0.3">
      <c r="A2" s="14"/>
      <c r="B2" s="14"/>
      <c r="C2" s="14"/>
      <c r="D2" s="14"/>
      <c r="E2" s="14"/>
      <c r="F2" s="14"/>
      <c r="G2" s="14"/>
      <c r="H2" s="14"/>
      <c r="I2" s="14"/>
      <c r="J2" s="14"/>
      <c r="K2" s="14"/>
      <c r="L2" s="14"/>
      <c r="M2" s="14"/>
      <c r="N2" s="14"/>
      <c r="O2" s="14"/>
      <c r="P2" s="14"/>
      <c r="Q2" s="14"/>
      <c r="R2" s="14"/>
      <c r="S2" s="14"/>
      <c r="T2" s="14"/>
      <c r="U2" s="14"/>
      <c r="V2" s="14"/>
      <c r="W2" s="14"/>
      <c r="X2" s="14"/>
      <c r="Y2" s="14"/>
      <c r="Z2" s="14"/>
    </row>
    <row r="3" spans="1:26" s="54" customFormat="1" ht="15" customHeight="1" x14ac:dyDescent="0.3">
      <c r="A3" s="14"/>
      <c r="B3" s="20" t="s">
        <v>34</v>
      </c>
      <c r="C3" s="14"/>
      <c r="D3" s="14"/>
      <c r="E3" s="14"/>
      <c r="F3" s="14"/>
      <c r="G3" s="14"/>
      <c r="H3" s="14"/>
      <c r="I3" s="14"/>
      <c r="J3" s="14"/>
      <c r="K3" s="14"/>
      <c r="L3" s="14"/>
      <c r="M3" s="14"/>
      <c r="N3" s="14"/>
      <c r="O3" s="14"/>
      <c r="P3" s="14"/>
      <c r="Q3" s="14"/>
      <c r="R3" s="14"/>
      <c r="S3" s="14"/>
      <c r="T3" s="14"/>
      <c r="U3" s="14"/>
      <c r="V3" s="14"/>
      <c r="W3" s="14"/>
      <c r="X3" s="14"/>
      <c r="Y3" s="14"/>
      <c r="Z3" s="14"/>
    </row>
    <row r="4" spans="1:26" s="54" customFormat="1" ht="14.25" customHeight="1" x14ac:dyDescent="0.3">
      <c r="A4" s="14"/>
      <c r="B4" s="14"/>
      <c r="C4" s="14"/>
      <c r="D4" s="14"/>
      <c r="E4" s="14"/>
      <c r="F4" s="14"/>
      <c r="G4" s="14"/>
      <c r="H4" s="14"/>
      <c r="I4" s="14"/>
      <c r="J4" s="14"/>
      <c r="K4" s="14"/>
      <c r="L4" s="14"/>
      <c r="M4" s="14"/>
      <c r="N4" s="14"/>
      <c r="O4" s="14"/>
      <c r="P4" s="14"/>
      <c r="Q4" s="14"/>
      <c r="R4" s="14"/>
      <c r="S4" s="14"/>
      <c r="T4" s="14"/>
      <c r="U4" s="14"/>
      <c r="V4" s="14"/>
      <c r="W4" s="14"/>
      <c r="X4" s="14"/>
      <c r="Y4" s="14"/>
      <c r="Z4" s="14"/>
    </row>
    <row r="5" spans="1:26" s="54" customFormat="1" ht="15" customHeight="1" x14ac:dyDescent="0.3">
      <c r="A5" s="14"/>
      <c r="B5" s="11" t="s">
        <v>35</v>
      </c>
      <c r="C5" s="11" t="s">
        <v>3</v>
      </c>
      <c r="D5" s="11" t="s">
        <v>36</v>
      </c>
      <c r="E5" s="11" t="s">
        <v>37</v>
      </c>
      <c r="F5" s="14"/>
      <c r="G5" s="14"/>
      <c r="H5" s="14"/>
      <c r="I5" s="14"/>
      <c r="J5" s="14"/>
      <c r="K5" s="14"/>
      <c r="L5" s="14"/>
      <c r="M5" s="14"/>
      <c r="N5" s="14"/>
      <c r="O5" s="14"/>
      <c r="P5" s="14"/>
      <c r="Q5" s="14"/>
      <c r="R5" s="14"/>
      <c r="S5" s="14"/>
      <c r="T5" s="14"/>
      <c r="U5" s="14"/>
      <c r="V5" s="14"/>
      <c r="W5" s="14"/>
      <c r="X5" s="14"/>
      <c r="Y5" s="14"/>
      <c r="Z5" s="14"/>
    </row>
    <row r="6" spans="1:26" s="54" customFormat="1" ht="15" customHeight="1" x14ac:dyDescent="0.3">
      <c r="A6" s="14"/>
      <c r="B6" s="13" t="s">
        <v>38</v>
      </c>
      <c r="C6" s="15">
        <v>79.069999999999993</v>
      </c>
      <c r="D6" s="12" t="s">
        <v>39</v>
      </c>
      <c r="E6" s="13" t="s">
        <v>40</v>
      </c>
      <c r="F6" s="14"/>
      <c r="G6" s="14"/>
      <c r="H6" s="14"/>
      <c r="I6" s="14"/>
      <c r="J6" s="14"/>
      <c r="K6" s="14"/>
      <c r="L6" s="14"/>
      <c r="M6" s="14"/>
      <c r="N6" s="14"/>
      <c r="O6" s="14"/>
      <c r="P6" s="14"/>
      <c r="Q6" s="14"/>
      <c r="R6" s="14"/>
      <c r="S6" s="14"/>
      <c r="T6" s="14"/>
      <c r="U6" s="14"/>
      <c r="V6" s="14"/>
      <c r="W6" s="14"/>
      <c r="X6" s="14"/>
      <c r="Y6" s="14"/>
      <c r="Z6" s="14"/>
    </row>
    <row r="7" spans="1:26" s="54" customFormat="1" ht="15" customHeight="1" x14ac:dyDescent="0.3">
      <c r="A7" s="14"/>
      <c r="B7" s="13" t="s">
        <v>41</v>
      </c>
      <c r="C7" s="21">
        <f>0.188</f>
        <v>0.188</v>
      </c>
      <c r="D7" s="12" t="s">
        <v>42</v>
      </c>
      <c r="E7" s="13" t="s">
        <v>43</v>
      </c>
      <c r="F7" s="14"/>
      <c r="G7" s="14"/>
      <c r="H7" s="14"/>
      <c r="I7" s="14"/>
      <c r="J7" s="14"/>
      <c r="K7" s="14"/>
      <c r="L7" s="14"/>
      <c r="M7" s="14"/>
      <c r="N7" s="14"/>
      <c r="O7" s="14"/>
      <c r="P7" s="14"/>
      <c r="Q7" s="14"/>
      <c r="R7" s="14"/>
      <c r="S7" s="14"/>
      <c r="T7" s="14"/>
      <c r="U7" s="14"/>
      <c r="V7" s="14"/>
      <c r="W7" s="14"/>
      <c r="X7" s="14"/>
      <c r="Y7" s="14"/>
      <c r="Z7" s="14"/>
    </row>
    <row r="8" spans="1:26" s="54" customFormat="1" ht="15" customHeight="1" x14ac:dyDescent="0.3">
      <c r="A8" s="14"/>
      <c r="B8" s="13" t="s">
        <v>44</v>
      </c>
      <c r="C8" s="21">
        <v>0.25</v>
      </c>
      <c r="D8" s="12" t="s">
        <v>42</v>
      </c>
      <c r="E8" s="13" t="s">
        <v>45</v>
      </c>
      <c r="F8" s="14"/>
      <c r="G8" s="14"/>
      <c r="H8" s="14"/>
      <c r="I8" s="14"/>
      <c r="J8" s="14"/>
      <c r="K8" s="14"/>
      <c r="L8" s="14"/>
      <c r="M8" s="14"/>
      <c r="N8" s="14"/>
      <c r="P8" s="14"/>
      <c r="Q8" s="14"/>
      <c r="R8" s="14"/>
      <c r="S8" s="14"/>
      <c r="T8" s="14"/>
      <c r="U8" s="14"/>
      <c r="V8" s="14"/>
      <c r="W8" s="14"/>
      <c r="X8" s="14"/>
      <c r="Y8" s="14"/>
      <c r="Z8" s="14"/>
    </row>
    <row r="9" spans="1:26" s="54" customFormat="1" ht="15" customHeight="1" x14ac:dyDescent="0.3">
      <c r="A9" s="14"/>
      <c r="B9" s="13" t="s">
        <v>46</v>
      </c>
      <c r="C9" s="15">
        <v>5</v>
      </c>
      <c r="D9" s="12" t="s">
        <v>47</v>
      </c>
      <c r="E9" s="13" t="s">
        <v>48</v>
      </c>
      <c r="F9" s="14"/>
      <c r="G9" s="14"/>
      <c r="H9" s="14"/>
      <c r="I9" s="14"/>
      <c r="J9" s="14"/>
      <c r="K9" s="14"/>
      <c r="L9" s="14"/>
      <c r="M9" s="14"/>
      <c r="N9" s="14"/>
      <c r="O9" s="14"/>
      <c r="P9" s="14"/>
      <c r="Q9" s="14"/>
      <c r="R9" s="14"/>
      <c r="S9" s="14"/>
      <c r="T9" s="14"/>
      <c r="U9" s="14"/>
      <c r="V9" s="14"/>
      <c r="W9" s="14"/>
      <c r="X9" s="14"/>
      <c r="Y9" s="14"/>
      <c r="Z9" s="14"/>
    </row>
    <row r="10" spans="1:26" s="54" customFormat="1" ht="14.25" customHeight="1" x14ac:dyDescent="0.3">
      <c r="A10" s="14"/>
      <c r="B10" s="14"/>
      <c r="C10" s="14"/>
      <c r="D10" s="14"/>
      <c r="E10" s="14"/>
      <c r="F10" s="14"/>
      <c r="G10" s="14"/>
      <c r="H10" s="14"/>
      <c r="I10" s="16"/>
      <c r="J10" s="16"/>
      <c r="K10" s="14"/>
      <c r="L10" s="14"/>
      <c r="M10" s="14"/>
      <c r="N10" s="14"/>
      <c r="O10" s="14"/>
      <c r="P10" s="14"/>
      <c r="Q10" s="14"/>
      <c r="R10" s="14"/>
      <c r="S10" s="14"/>
      <c r="T10" s="14"/>
      <c r="U10" s="14"/>
      <c r="V10" s="14"/>
      <c r="W10" s="14"/>
      <c r="X10" s="14"/>
      <c r="Y10" s="14"/>
      <c r="Z10" s="14"/>
    </row>
    <row r="11" spans="1:26" s="54" customFormat="1" ht="15" customHeight="1" x14ac:dyDescent="0.3">
      <c r="A11" s="14"/>
      <c r="B11" s="20" t="s">
        <v>49</v>
      </c>
      <c r="C11" s="14"/>
      <c r="D11" s="14"/>
      <c r="E11" s="14"/>
      <c r="F11" s="14"/>
      <c r="G11" s="14"/>
      <c r="H11" s="14"/>
      <c r="I11" s="16"/>
      <c r="J11" s="16"/>
      <c r="K11" s="14"/>
      <c r="L11" s="14"/>
      <c r="M11" s="14"/>
      <c r="N11" s="14"/>
      <c r="O11" s="14"/>
      <c r="P11" s="14"/>
      <c r="Q11" s="14"/>
      <c r="R11" s="14"/>
      <c r="S11" s="14"/>
      <c r="T11" s="14"/>
      <c r="U11" s="14"/>
      <c r="V11" s="14"/>
      <c r="W11" s="14"/>
      <c r="X11" s="14"/>
      <c r="Y11" s="14"/>
      <c r="Z11" s="14"/>
    </row>
    <row r="12" spans="1:26" s="54" customFormat="1" ht="14.25" customHeight="1" x14ac:dyDescent="0.3">
      <c r="A12" s="14"/>
      <c r="B12" s="14"/>
      <c r="C12" s="14"/>
      <c r="D12" s="14"/>
      <c r="E12" s="14"/>
      <c r="F12" s="14"/>
      <c r="G12" s="14"/>
      <c r="H12" s="14"/>
      <c r="I12" s="16"/>
      <c r="J12" s="16"/>
      <c r="K12" s="14"/>
      <c r="L12" s="14"/>
      <c r="M12" s="14"/>
      <c r="N12" s="14"/>
      <c r="O12" s="14"/>
      <c r="P12" s="14"/>
      <c r="Q12" s="14"/>
      <c r="R12" s="14"/>
      <c r="S12" s="14"/>
      <c r="T12" s="14"/>
      <c r="U12" s="14"/>
      <c r="V12" s="14"/>
      <c r="W12" s="14"/>
      <c r="X12" s="14"/>
      <c r="Y12" s="14"/>
      <c r="Z12" s="14"/>
    </row>
    <row r="13" spans="1:26" s="54" customFormat="1" ht="15" customHeight="1" x14ac:dyDescent="0.3">
      <c r="A13" s="14"/>
      <c r="B13" s="11" t="s">
        <v>35</v>
      </c>
      <c r="C13" s="11" t="s">
        <v>50</v>
      </c>
      <c r="D13" s="11" t="s">
        <v>51</v>
      </c>
      <c r="E13" s="11" t="s">
        <v>52</v>
      </c>
      <c r="F13" s="11" t="s">
        <v>53</v>
      </c>
      <c r="G13" s="14"/>
      <c r="H13" s="14"/>
      <c r="I13" s="16"/>
      <c r="J13" s="16"/>
      <c r="K13" s="14"/>
      <c r="L13" s="14"/>
      <c r="M13" s="14"/>
      <c r="N13" s="14"/>
      <c r="O13" s="14"/>
      <c r="P13" s="14"/>
      <c r="Q13" s="14"/>
      <c r="R13" s="14"/>
      <c r="S13" s="14"/>
      <c r="T13" s="14"/>
      <c r="U13" s="14"/>
      <c r="V13" s="14"/>
      <c r="W13" s="14"/>
      <c r="X13" s="14"/>
      <c r="Y13" s="14"/>
      <c r="Z13" s="14"/>
    </row>
    <row r="14" spans="1:26" s="54" customFormat="1" ht="15" customHeight="1" x14ac:dyDescent="0.3">
      <c r="A14" s="14"/>
      <c r="B14" s="17" t="s">
        <v>54</v>
      </c>
      <c r="C14" s="27">
        <v>1003100000</v>
      </c>
      <c r="D14" s="27">
        <v>2109082000</v>
      </c>
      <c r="E14" s="27">
        <v>2366006320</v>
      </c>
      <c r="F14" s="16" t="s">
        <v>55</v>
      </c>
      <c r="G14" s="14"/>
      <c r="H14" s="14"/>
      <c r="I14" s="16"/>
      <c r="J14" s="16"/>
      <c r="K14" s="14"/>
      <c r="L14" s="14"/>
      <c r="M14" s="14"/>
      <c r="N14" s="14"/>
      <c r="O14" s="14"/>
      <c r="P14" s="14"/>
      <c r="Q14" s="14"/>
      <c r="R14" s="14"/>
      <c r="S14" s="14"/>
      <c r="T14" s="14"/>
      <c r="U14" s="14"/>
      <c r="V14" s="14"/>
      <c r="W14" s="14"/>
      <c r="X14" s="14"/>
      <c r="Y14" s="14"/>
      <c r="Z14" s="14"/>
    </row>
    <row r="15" spans="1:26" s="54" customFormat="1" ht="15" customHeight="1" x14ac:dyDescent="0.3">
      <c r="A15" s="14"/>
      <c r="B15" s="17" t="s">
        <v>56</v>
      </c>
      <c r="C15" s="21">
        <v>0.17</v>
      </c>
      <c r="D15" s="21">
        <v>0.25</v>
      </c>
      <c r="E15" s="21">
        <v>0.25</v>
      </c>
      <c r="F15" s="16" t="s">
        <v>527</v>
      </c>
      <c r="G15" s="14"/>
      <c r="H15" s="14"/>
      <c r="I15" s="16"/>
      <c r="J15" s="16"/>
      <c r="K15" s="14"/>
      <c r="L15" s="14"/>
      <c r="M15" s="14"/>
      <c r="N15" s="14"/>
      <c r="O15" s="14"/>
      <c r="P15" s="14"/>
      <c r="Q15" s="14"/>
      <c r="R15" s="14"/>
      <c r="S15" s="14"/>
      <c r="T15" s="14"/>
      <c r="U15" s="14"/>
      <c r="V15" s="14"/>
      <c r="W15" s="14"/>
      <c r="X15" s="14"/>
      <c r="Y15" s="14"/>
      <c r="Z15" s="14"/>
    </row>
    <row r="16" spans="1:26" s="54" customFormat="1" ht="15" customHeight="1" x14ac:dyDescent="0.3">
      <c r="A16" s="14"/>
      <c r="B16" s="17" t="s">
        <v>57</v>
      </c>
      <c r="C16" s="18">
        <f>C14*C15</f>
        <v>170527000</v>
      </c>
      <c r="D16" s="18">
        <f>D14*D15</f>
        <v>527270500</v>
      </c>
      <c r="E16" s="18">
        <f>E14*E15</f>
        <v>591501580</v>
      </c>
      <c r="F16" s="16" t="s">
        <v>58</v>
      </c>
      <c r="G16" s="14"/>
      <c r="H16" s="14"/>
      <c r="I16" s="16"/>
      <c r="J16" s="16"/>
      <c r="K16" s="14"/>
      <c r="L16" s="14"/>
      <c r="M16" s="14"/>
      <c r="N16" s="14"/>
      <c r="O16" s="14"/>
      <c r="P16" s="14"/>
      <c r="Q16" s="14"/>
      <c r="R16" s="14"/>
      <c r="S16" s="14"/>
      <c r="T16" s="14"/>
      <c r="U16" s="14"/>
      <c r="V16" s="14"/>
      <c r="W16" s="14"/>
      <c r="X16" s="14"/>
      <c r="Y16" s="14"/>
      <c r="Z16" s="14"/>
    </row>
    <row r="17" spans="1:26" s="54" customFormat="1" ht="15" customHeight="1" x14ac:dyDescent="0.3">
      <c r="A17" s="14"/>
      <c r="B17" s="17" t="s">
        <v>59</v>
      </c>
      <c r="C17" s="19">
        <v>0.03</v>
      </c>
      <c r="D17" s="19">
        <v>2.5000000000000001E-2</v>
      </c>
      <c r="E17" s="19">
        <v>0.03</v>
      </c>
      <c r="F17" s="16" t="s">
        <v>60</v>
      </c>
      <c r="G17" s="14"/>
      <c r="H17" s="14"/>
      <c r="I17" s="14"/>
      <c r="J17" s="14"/>
      <c r="K17" s="14"/>
      <c r="L17" s="14"/>
      <c r="M17" s="14"/>
      <c r="N17" s="14"/>
      <c r="O17" s="14"/>
      <c r="P17" s="14"/>
      <c r="Q17" s="14"/>
      <c r="R17" s="14"/>
      <c r="S17" s="14"/>
      <c r="T17" s="14"/>
      <c r="U17" s="14"/>
      <c r="V17" s="14"/>
      <c r="W17" s="14"/>
      <c r="X17" s="14"/>
      <c r="Y17" s="14"/>
      <c r="Z17" s="14"/>
    </row>
    <row r="18" spans="1:26" s="54" customFormat="1" ht="15" customHeight="1" x14ac:dyDescent="0.3">
      <c r="A18" s="14"/>
      <c r="B18" s="17" t="s">
        <v>61</v>
      </c>
      <c r="C18" s="21">
        <v>0.5</v>
      </c>
      <c r="D18" s="21">
        <v>0.5</v>
      </c>
      <c r="E18" s="21">
        <v>0.5</v>
      </c>
      <c r="F18" s="16" t="s">
        <v>62</v>
      </c>
      <c r="G18" s="14"/>
      <c r="H18" s="14"/>
      <c r="I18" s="14"/>
      <c r="J18" s="14"/>
      <c r="K18" s="14"/>
      <c r="L18" s="14"/>
      <c r="M18" s="14"/>
      <c r="N18" s="14"/>
      <c r="O18" s="14"/>
      <c r="P18" s="14"/>
      <c r="Q18" s="14"/>
      <c r="R18" s="14"/>
      <c r="S18" s="14"/>
      <c r="T18" s="14"/>
      <c r="U18" s="14"/>
      <c r="V18" s="14"/>
      <c r="W18" s="14"/>
      <c r="X18" s="14"/>
      <c r="Y18" s="14"/>
      <c r="Z18" s="14"/>
    </row>
    <row r="19" spans="1:26" s="54" customFormat="1" ht="14.25" customHeight="1" x14ac:dyDescent="0.3">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spans="1:26" s="54" customFormat="1" ht="15" customHeight="1" x14ac:dyDescent="0.3">
      <c r="A20" s="14"/>
      <c r="B20" s="20" t="s">
        <v>63</v>
      </c>
      <c r="C20" s="14"/>
      <c r="D20" s="14"/>
      <c r="E20" s="14"/>
      <c r="F20" s="14"/>
      <c r="G20" s="14"/>
      <c r="H20" s="14"/>
      <c r="I20" s="14"/>
      <c r="J20" s="14"/>
      <c r="K20" s="14"/>
      <c r="L20" s="14"/>
      <c r="M20" s="14"/>
      <c r="N20" s="14"/>
      <c r="O20" s="14"/>
      <c r="P20" s="14"/>
      <c r="Q20" s="14"/>
      <c r="R20" s="14"/>
      <c r="S20" s="14"/>
      <c r="T20" s="14"/>
      <c r="U20" s="14"/>
      <c r="V20" s="14"/>
      <c r="W20" s="14"/>
      <c r="X20" s="14"/>
      <c r="Y20" s="14"/>
      <c r="Z20" s="14"/>
    </row>
    <row r="21" spans="1:26" s="54" customFormat="1" ht="14.25" customHeight="1" x14ac:dyDescent="0.3">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spans="1:26" s="54" customFormat="1" ht="15" customHeight="1" x14ac:dyDescent="0.3">
      <c r="A22" s="14"/>
      <c r="B22" s="11" t="s">
        <v>35</v>
      </c>
      <c r="C22" s="11" t="s">
        <v>50</v>
      </c>
      <c r="D22" s="11" t="s">
        <v>51</v>
      </c>
      <c r="E22" s="11" t="s">
        <v>52</v>
      </c>
      <c r="F22" s="11" t="s">
        <v>53</v>
      </c>
      <c r="G22" s="14"/>
      <c r="H22" s="14"/>
      <c r="I22" s="14"/>
      <c r="J22" s="14"/>
      <c r="K22" s="14"/>
      <c r="L22" s="14"/>
      <c r="M22" s="14"/>
      <c r="N22" s="14"/>
      <c r="O22" s="14"/>
      <c r="P22" s="14"/>
      <c r="Q22" s="14"/>
      <c r="R22" s="14"/>
      <c r="S22" s="14"/>
      <c r="T22" s="14"/>
      <c r="U22" s="14"/>
      <c r="V22" s="14"/>
      <c r="W22" s="14"/>
      <c r="X22" s="14"/>
      <c r="Y22" s="14"/>
      <c r="Z22" s="14"/>
    </row>
    <row r="23" spans="1:26" s="54" customFormat="1" ht="15" customHeight="1" x14ac:dyDescent="0.3">
      <c r="A23" s="14"/>
      <c r="B23" s="17" t="s">
        <v>64</v>
      </c>
      <c r="C23" s="21">
        <v>7.0000000000000007E-2</v>
      </c>
      <c r="D23" s="21">
        <v>0.06</v>
      </c>
      <c r="E23" s="21">
        <v>7.0000000000000007E-2</v>
      </c>
      <c r="F23" s="16" t="s">
        <v>65</v>
      </c>
      <c r="G23" s="14"/>
      <c r="H23" s="14"/>
      <c r="I23" s="14"/>
      <c r="J23" s="14"/>
      <c r="K23" s="14"/>
      <c r="L23" s="14"/>
      <c r="M23" s="14"/>
      <c r="N23" s="14"/>
      <c r="O23" s="14"/>
      <c r="P23" s="14"/>
      <c r="Q23" s="14"/>
      <c r="R23" s="14"/>
      <c r="S23" s="14"/>
      <c r="T23" s="14"/>
      <c r="U23" s="14"/>
      <c r="V23" s="14"/>
      <c r="W23" s="14"/>
      <c r="X23" s="14"/>
      <c r="Y23" s="14"/>
      <c r="Z23" s="14"/>
    </row>
    <row r="24" spans="1:26" s="54" customFormat="1" ht="15" customHeight="1" x14ac:dyDescent="0.3">
      <c r="A24" s="14"/>
      <c r="B24" s="17" t="s">
        <v>66</v>
      </c>
      <c r="C24" s="21">
        <v>0.5</v>
      </c>
      <c r="D24" s="21">
        <v>0.5</v>
      </c>
      <c r="E24" s="21">
        <v>0.5</v>
      </c>
      <c r="F24" s="16" t="s">
        <v>67</v>
      </c>
      <c r="G24" s="14"/>
      <c r="H24" s="14"/>
      <c r="I24" s="14"/>
      <c r="J24" s="14"/>
      <c r="K24" s="14"/>
      <c r="L24" s="14"/>
      <c r="M24" s="14"/>
      <c r="N24" s="14"/>
      <c r="O24" s="14"/>
      <c r="P24" s="14"/>
      <c r="Q24" s="14"/>
      <c r="R24" s="14"/>
      <c r="S24" s="14"/>
      <c r="T24" s="14"/>
      <c r="U24" s="14"/>
      <c r="V24" s="14"/>
      <c r="W24" s="14"/>
      <c r="X24" s="14"/>
      <c r="Y24" s="14"/>
      <c r="Z24" s="14"/>
    </row>
    <row r="25" spans="1:26" s="54" customFormat="1" ht="15" customHeight="1" x14ac:dyDescent="0.3">
      <c r="A25" s="14"/>
      <c r="B25" s="17" t="s">
        <v>68</v>
      </c>
      <c r="C25" s="22">
        <f>C23*C24</f>
        <v>3.5000000000000003E-2</v>
      </c>
      <c r="D25" s="22">
        <f>D23*D24</f>
        <v>0.03</v>
      </c>
      <c r="E25" s="22">
        <f>E23*E24</f>
        <v>3.5000000000000003E-2</v>
      </c>
      <c r="F25" s="16" t="s">
        <v>58</v>
      </c>
      <c r="G25" s="14"/>
      <c r="H25" s="14"/>
      <c r="I25" s="14"/>
      <c r="J25" s="14"/>
      <c r="K25" s="14"/>
      <c r="L25" s="14"/>
      <c r="M25" s="14"/>
      <c r="N25" s="14"/>
      <c r="O25" s="14"/>
      <c r="P25" s="14"/>
      <c r="Q25" s="14"/>
      <c r="R25" s="14"/>
      <c r="S25" s="14"/>
      <c r="T25" s="14"/>
      <c r="U25" s="14"/>
      <c r="V25" s="14"/>
      <c r="W25" s="14"/>
      <c r="X25" s="14"/>
      <c r="Y25" s="14"/>
      <c r="Z25" s="14"/>
    </row>
    <row r="26" spans="1:26" s="54" customFormat="1" ht="15" customHeight="1" x14ac:dyDescent="0.3">
      <c r="A26" s="14"/>
      <c r="B26" s="17" t="s">
        <v>69</v>
      </c>
      <c r="C26" s="23">
        <v>2.5000000000000001E-2</v>
      </c>
      <c r="D26" s="23">
        <v>0.03</v>
      </c>
      <c r="E26" s="23">
        <v>2.5000000000000001E-2</v>
      </c>
      <c r="F26" s="16" t="s">
        <v>70</v>
      </c>
      <c r="G26" s="14"/>
      <c r="H26" s="14"/>
      <c r="I26" s="14"/>
      <c r="J26" s="14"/>
      <c r="K26" s="14"/>
      <c r="L26" s="14"/>
      <c r="M26" s="14"/>
      <c r="N26" s="14"/>
      <c r="O26" s="14"/>
      <c r="P26" s="14"/>
      <c r="Q26" s="14"/>
      <c r="R26" s="14"/>
      <c r="S26" s="14"/>
      <c r="T26" s="14"/>
      <c r="U26" s="14"/>
      <c r="V26" s="14"/>
      <c r="W26" s="14"/>
      <c r="X26" s="14"/>
      <c r="Y26" s="14"/>
      <c r="Z26" s="14"/>
    </row>
    <row r="27" spans="1:26" s="54" customFormat="1" ht="15" customHeight="1" x14ac:dyDescent="0.3">
      <c r="A27" s="14"/>
      <c r="B27" s="24" t="s">
        <v>71</v>
      </c>
      <c r="C27" s="25">
        <v>15</v>
      </c>
      <c r="D27" s="25">
        <v>25</v>
      </c>
      <c r="E27" s="25">
        <v>12</v>
      </c>
      <c r="F27" s="26" t="s">
        <v>72</v>
      </c>
      <c r="G27" s="14"/>
      <c r="H27" s="14"/>
      <c r="I27" s="14"/>
      <c r="J27" s="14"/>
      <c r="K27" s="14"/>
      <c r="L27" s="14"/>
      <c r="M27" s="14"/>
      <c r="N27" s="14"/>
      <c r="O27" s="14"/>
      <c r="P27" s="14"/>
      <c r="Q27" s="14"/>
      <c r="R27" s="14"/>
      <c r="S27" s="14"/>
      <c r="T27" s="14"/>
      <c r="U27" s="14"/>
      <c r="V27" s="14"/>
      <c r="W27" s="14"/>
      <c r="X27" s="14"/>
      <c r="Y27" s="14"/>
      <c r="Z27" s="14"/>
    </row>
    <row r="28" spans="1:26" s="54" customFormat="1" ht="15" customHeight="1" x14ac:dyDescent="0.3">
      <c r="A28" s="14"/>
      <c r="B28" s="24" t="s">
        <v>73</v>
      </c>
      <c r="C28" s="25">
        <v>0.8</v>
      </c>
      <c r="D28" s="25">
        <v>0.7</v>
      </c>
      <c r="E28" s="25">
        <v>0.9</v>
      </c>
      <c r="F28" s="26" t="s">
        <v>74</v>
      </c>
      <c r="G28" s="14"/>
      <c r="H28" s="14"/>
      <c r="I28" s="14"/>
      <c r="J28" s="14"/>
      <c r="K28" s="14"/>
      <c r="L28" s="14"/>
      <c r="M28" s="14"/>
      <c r="N28" s="14"/>
      <c r="O28" s="14"/>
      <c r="P28" s="14"/>
      <c r="Q28" s="14"/>
      <c r="R28" s="14"/>
      <c r="S28" s="14"/>
      <c r="T28" s="14"/>
      <c r="U28" s="14"/>
      <c r="V28" s="14"/>
      <c r="W28" s="14"/>
      <c r="X28" s="14"/>
      <c r="Y28" s="14"/>
      <c r="Z28" s="14"/>
    </row>
    <row r="29" spans="1:26" s="54" customFormat="1" ht="14.25" customHeight="1" x14ac:dyDescent="0.3">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s="54" customFormat="1" ht="15" customHeight="1" x14ac:dyDescent="0.3">
      <c r="A30" s="14"/>
      <c r="B30" s="20" t="s">
        <v>75</v>
      </c>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s="54" customFormat="1" ht="14.25" customHeight="1" x14ac:dyDescent="0.3">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spans="1:26" s="54" customFormat="1" ht="15" customHeight="1" x14ac:dyDescent="0.3">
      <c r="A32" s="14"/>
      <c r="B32" s="11" t="s">
        <v>76</v>
      </c>
      <c r="C32" s="11" t="s">
        <v>77</v>
      </c>
      <c r="D32" s="11" t="s">
        <v>78</v>
      </c>
      <c r="E32" s="11" t="s">
        <v>79</v>
      </c>
      <c r="F32" s="14"/>
      <c r="G32" s="14"/>
      <c r="H32" s="14"/>
      <c r="I32" s="14"/>
      <c r="J32" s="14"/>
      <c r="K32" s="14"/>
      <c r="L32" s="14"/>
      <c r="M32" s="14"/>
      <c r="N32" s="14"/>
      <c r="O32" s="14"/>
      <c r="P32" s="14"/>
      <c r="Q32" s="14"/>
      <c r="R32" s="14"/>
      <c r="S32" s="14"/>
      <c r="T32" s="14"/>
      <c r="U32" s="14"/>
      <c r="V32" s="14"/>
      <c r="W32" s="14"/>
      <c r="X32" s="14"/>
      <c r="Y32" s="14"/>
      <c r="Z32" s="14"/>
    </row>
    <row r="33" spans="1:26" s="54" customFormat="1" ht="15" customHeight="1" x14ac:dyDescent="0.3">
      <c r="A33" s="14"/>
      <c r="B33" s="17" t="s">
        <v>80</v>
      </c>
      <c r="C33" s="27">
        <v>50000</v>
      </c>
      <c r="D33" s="28">
        <f>C33/$C$6</f>
        <v>632.35108132034907</v>
      </c>
      <c r="E33" s="16" t="s">
        <v>81</v>
      </c>
      <c r="F33" s="14"/>
      <c r="G33" s="14"/>
      <c r="H33" s="14"/>
      <c r="I33" s="14"/>
      <c r="J33" s="14"/>
      <c r="K33" s="14"/>
      <c r="L33" s="14"/>
      <c r="M33" s="14"/>
      <c r="N33" s="14"/>
      <c r="O33" s="14"/>
      <c r="P33" s="14"/>
      <c r="Q33" s="14"/>
      <c r="R33" s="14"/>
      <c r="S33" s="14"/>
      <c r="T33" s="14"/>
      <c r="U33" s="14"/>
      <c r="V33" s="14"/>
      <c r="W33" s="14"/>
      <c r="X33" s="14"/>
      <c r="Y33" s="14"/>
      <c r="Z33" s="14"/>
    </row>
    <row r="34" spans="1:26" s="54" customFormat="1" ht="15" customHeight="1" x14ac:dyDescent="0.3">
      <c r="A34" s="14"/>
      <c r="B34" s="17" t="s">
        <v>82</v>
      </c>
      <c r="C34" s="27">
        <v>33000</v>
      </c>
      <c r="D34" s="28">
        <f>C34/$C$6</f>
        <v>417.35171367143039</v>
      </c>
      <c r="E34" s="16" t="s">
        <v>83</v>
      </c>
      <c r="F34" s="14"/>
      <c r="G34" s="14"/>
      <c r="H34" s="14"/>
      <c r="I34" s="14"/>
      <c r="J34" s="14"/>
      <c r="K34" s="14"/>
      <c r="L34" s="14"/>
      <c r="M34" s="14"/>
      <c r="N34" s="14"/>
      <c r="O34" s="14"/>
      <c r="P34" s="14"/>
      <c r="Q34" s="14"/>
      <c r="R34" s="14"/>
      <c r="S34" s="14"/>
      <c r="T34" s="14"/>
      <c r="U34" s="14"/>
      <c r="V34" s="14"/>
      <c r="W34" s="14"/>
      <c r="X34" s="14"/>
      <c r="Y34" s="14"/>
      <c r="Z34" s="14"/>
    </row>
    <row r="35" spans="1:26" s="54" customFormat="1" ht="15" customHeight="1" x14ac:dyDescent="0.3">
      <c r="A35" s="14"/>
      <c r="B35" s="17" t="s">
        <v>84</v>
      </c>
      <c r="C35" s="27">
        <v>30000</v>
      </c>
      <c r="D35" s="28">
        <f>C35/$C$6</f>
        <v>379.41064879220949</v>
      </c>
      <c r="E35" s="16" t="s">
        <v>85</v>
      </c>
      <c r="F35" s="14"/>
      <c r="G35" s="14"/>
      <c r="H35" s="14"/>
      <c r="I35" s="14"/>
      <c r="J35" s="14"/>
      <c r="K35" s="14"/>
      <c r="L35" s="14"/>
      <c r="M35" s="14"/>
      <c r="N35" s="14"/>
      <c r="O35" s="14"/>
      <c r="P35" s="14"/>
      <c r="Q35" s="14"/>
      <c r="R35" s="14"/>
      <c r="S35" s="14"/>
      <c r="T35" s="14"/>
      <c r="U35" s="14"/>
      <c r="V35" s="14"/>
      <c r="W35" s="14"/>
      <c r="X35" s="14"/>
      <c r="Y35" s="14"/>
      <c r="Z35" s="14"/>
    </row>
    <row r="36" spans="1:26" s="54" customFormat="1" ht="15" customHeight="1" x14ac:dyDescent="0.3">
      <c r="A36" s="14"/>
      <c r="B36" s="17" t="s">
        <v>86</v>
      </c>
      <c r="C36" s="27">
        <v>10000</v>
      </c>
      <c r="D36" s="28">
        <f>C36/$C$6</f>
        <v>126.47021626406982</v>
      </c>
      <c r="E36" s="16" t="s">
        <v>87</v>
      </c>
      <c r="F36" s="14"/>
      <c r="G36" s="14"/>
      <c r="H36" s="14"/>
      <c r="I36" s="14"/>
      <c r="J36" s="14"/>
      <c r="K36" s="14"/>
      <c r="L36" s="14"/>
      <c r="M36" s="14"/>
      <c r="N36" s="14"/>
      <c r="O36" s="14"/>
      <c r="P36" s="14"/>
      <c r="Q36" s="14"/>
      <c r="R36" s="14"/>
      <c r="S36" s="14"/>
      <c r="T36" s="14"/>
      <c r="U36" s="14"/>
      <c r="V36" s="14"/>
      <c r="W36" s="14"/>
      <c r="X36" s="14"/>
      <c r="Y36" s="14"/>
      <c r="Z36" s="14"/>
    </row>
    <row r="37" spans="1:26" s="54" customFormat="1" ht="15" customHeight="1" x14ac:dyDescent="0.3">
      <c r="A37" s="14"/>
      <c r="B37" s="17" t="s">
        <v>88</v>
      </c>
      <c r="C37" s="27">
        <v>20000</v>
      </c>
      <c r="D37" s="28">
        <f>C37/$C$6</f>
        <v>252.94043252813964</v>
      </c>
      <c r="E37" s="16" t="s">
        <v>89</v>
      </c>
      <c r="F37" s="14"/>
      <c r="G37" s="14"/>
      <c r="H37" s="14"/>
      <c r="I37" s="14"/>
      <c r="J37" s="14"/>
      <c r="K37" s="14"/>
      <c r="L37" s="14"/>
      <c r="M37" s="14"/>
      <c r="N37" s="14"/>
      <c r="O37" s="14"/>
      <c r="P37" s="14"/>
      <c r="Q37" s="14"/>
      <c r="R37" s="14"/>
      <c r="S37" s="14"/>
      <c r="T37" s="14"/>
      <c r="U37" s="14"/>
      <c r="V37" s="14"/>
      <c r="W37" s="14"/>
      <c r="X37" s="14"/>
      <c r="Y37" s="14"/>
      <c r="Z37" s="14"/>
    </row>
    <row r="38" spans="1:26" s="54" customFormat="1" ht="14.25" customHeight="1" x14ac:dyDescent="0.3">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spans="1:26" s="54" customFormat="1" ht="14.25" customHeight="1" x14ac:dyDescent="0.3">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spans="1:26" s="54" customFormat="1" ht="14.25" customHeight="1" x14ac:dyDescent="0.3">
      <c r="A40" s="14"/>
      <c r="B40" s="20" t="s">
        <v>90</v>
      </c>
      <c r="C40" s="14"/>
      <c r="D40" s="14"/>
      <c r="E40" s="14"/>
      <c r="F40" s="14"/>
      <c r="G40" s="14"/>
      <c r="H40" s="14"/>
      <c r="I40" s="14"/>
      <c r="J40" s="14"/>
      <c r="K40" s="14"/>
      <c r="L40" s="14"/>
      <c r="M40" s="14"/>
      <c r="N40" s="14"/>
      <c r="O40" s="14"/>
      <c r="P40" s="14"/>
      <c r="Q40" s="14"/>
      <c r="R40" s="14"/>
      <c r="S40" s="14"/>
      <c r="T40" s="14"/>
      <c r="U40" s="14"/>
      <c r="V40" s="14"/>
      <c r="W40" s="14"/>
      <c r="X40" s="14"/>
      <c r="Y40" s="14"/>
      <c r="Z40" s="14"/>
    </row>
    <row r="41" spans="1:26" s="54" customFormat="1" ht="14.25" customHeight="1" x14ac:dyDescent="0.3">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s="54" customFormat="1" ht="14.25" customHeight="1" x14ac:dyDescent="0.3">
      <c r="A42" s="14"/>
      <c r="B42" s="11" t="s">
        <v>91</v>
      </c>
      <c r="C42" s="11">
        <v>2026</v>
      </c>
      <c r="D42" s="11">
        <v>2027</v>
      </c>
      <c r="E42" s="11">
        <v>2028</v>
      </c>
      <c r="F42" s="11">
        <v>2029</v>
      </c>
      <c r="G42" s="11">
        <v>2030</v>
      </c>
      <c r="H42" s="14"/>
      <c r="I42" s="14"/>
      <c r="J42" s="14"/>
      <c r="K42" s="14"/>
      <c r="L42" s="14"/>
      <c r="M42" s="14"/>
      <c r="N42" s="14"/>
      <c r="O42" s="14"/>
      <c r="P42" s="14"/>
      <c r="Q42" s="14"/>
      <c r="R42" s="14"/>
      <c r="S42" s="14"/>
      <c r="T42" s="14"/>
      <c r="U42" s="14"/>
      <c r="V42" s="14"/>
      <c r="W42" s="14"/>
      <c r="X42" s="14"/>
      <c r="Y42" s="14"/>
      <c r="Z42" s="14"/>
    </row>
    <row r="43" spans="1:26" s="54" customFormat="1" ht="14.25" customHeight="1" x14ac:dyDescent="0.3">
      <c r="A43" s="14"/>
      <c r="B43" s="17" t="s">
        <v>92</v>
      </c>
      <c r="C43" s="21">
        <v>0.5</v>
      </c>
      <c r="D43" s="21">
        <v>0.7</v>
      </c>
      <c r="E43" s="21">
        <v>0.85</v>
      </c>
      <c r="F43" s="21">
        <v>0.95</v>
      </c>
      <c r="G43" s="21">
        <v>1</v>
      </c>
      <c r="H43" s="14"/>
      <c r="I43" s="14"/>
      <c r="J43" s="14"/>
      <c r="K43" s="14"/>
      <c r="L43" s="14"/>
      <c r="M43" s="14"/>
      <c r="N43" s="14"/>
      <c r="O43" s="14"/>
      <c r="P43" s="14"/>
      <c r="Q43" s="14"/>
      <c r="R43" s="14"/>
      <c r="S43" s="14"/>
      <c r="T43" s="14"/>
      <c r="U43" s="14"/>
      <c r="V43" s="14"/>
      <c r="W43" s="14"/>
      <c r="X43" s="14"/>
      <c r="Y43" s="14"/>
      <c r="Z43" s="14"/>
    </row>
    <row r="44" spans="1:26" s="54" customFormat="1" ht="14.25" customHeight="1" x14ac:dyDescent="0.3">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spans="1:26" s="54" customFormat="1" ht="14.25" customHeight="1" x14ac:dyDescent="0.3">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spans="1:26" s="54" customFormat="1" ht="14.25" customHeight="1" x14ac:dyDescent="0.3">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spans="1:26" s="54" customFormat="1" ht="14.25" customHeight="1" x14ac:dyDescent="0.3">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spans="1:26" s="54" customFormat="1" ht="14.25" customHeight="1" x14ac:dyDescent="0.3">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spans="1:26" s="54" customFormat="1" ht="14.25" customHeight="1" x14ac:dyDescent="0.3">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spans="1:26" s="54" customFormat="1" ht="14.25" customHeight="1" x14ac:dyDescent="0.3">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spans="1:26" s="54" customFormat="1" ht="14.25" customHeight="1" x14ac:dyDescent="0.3">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spans="1:26" s="54" customFormat="1" ht="14.25" customHeight="1" x14ac:dyDescent="0.3">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spans="1:26" s="54" customFormat="1" ht="14.25" customHeight="1" x14ac:dyDescent="0.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spans="1:26" s="54" customFormat="1" ht="14.25" customHeight="1" x14ac:dyDescent="0.3">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spans="1:26" s="54" customFormat="1" ht="14.25" customHeight="1" x14ac:dyDescent="0.3">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spans="1:26" s="54" customFormat="1" ht="14.25" customHeight="1" x14ac:dyDescent="0.3">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spans="1:26" s="54" customFormat="1" ht="14.25" customHeight="1" x14ac:dyDescent="0.3">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spans="1:26" s="54" customFormat="1" ht="14.25" customHeight="1" x14ac:dyDescent="0.3">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spans="1:26" s="54" customFormat="1" ht="14.25" customHeight="1" x14ac:dyDescent="0.3">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spans="1:26" s="54" customFormat="1" ht="14.25" customHeight="1" x14ac:dyDescent="0.3">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spans="1:26" s="54" customFormat="1" ht="14.25" customHeight="1" x14ac:dyDescent="0.3">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spans="1:26" s="54" customFormat="1" ht="14.25" customHeight="1" x14ac:dyDescent="0.3">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spans="1:26" s="54" customFormat="1" ht="14.25" customHeight="1" x14ac:dyDescent="0.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spans="1:26" s="54" customFormat="1" ht="14.25" customHeight="1" x14ac:dyDescent="0.3">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spans="1:26" s="54" customFormat="1" ht="14.25" customHeight="1" x14ac:dyDescent="0.3">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spans="1:26" s="54" customFormat="1" ht="14.25" customHeight="1" x14ac:dyDescent="0.3">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spans="1:26" s="54" customFormat="1" ht="14.25" customHeight="1" x14ac:dyDescent="0.3">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spans="1:26" s="54" customFormat="1" ht="14.25" customHeight="1" x14ac:dyDescent="0.3">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spans="1:26" s="54" customFormat="1" ht="14.25" customHeight="1" x14ac:dyDescent="0.3">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spans="1:26" s="54" customFormat="1" ht="14.25" customHeight="1" x14ac:dyDescent="0.3">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spans="1:26" s="54" customFormat="1" ht="14.25" customHeight="1" x14ac:dyDescent="0.3">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spans="1:26" s="54" customFormat="1" ht="14.25" customHeight="1" x14ac:dyDescent="0.3">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spans="1:26" s="54" customFormat="1" ht="14.25" customHeight="1" x14ac:dyDescent="0.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spans="1:26" s="54" customFormat="1" ht="14.25" customHeight="1" x14ac:dyDescent="0.3">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spans="1:26" s="54" customFormat="1" ht="14.25" customHeight="1" x14ac:dyDescent="0.3">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spans="1:26" s="54" customFormat="1" ht="14.25" customHeight="1" x14ac:dyDescent="0.3">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spans="1:26" s="54" customFormat="1" ht="14.25" customHeight="1" x14ac:dyDescent="0.3">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spans="1:26" s="54" customFormat="1" ht="14.25" customHeight="1" x14ac:dyDescent="0.3">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spans="1:26" s="54" customFormat="1" ht="14.25" customHeight="1" x14ac:dyDescent="0.3">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spans="1:26" s="54" customFormat="1" ht="14.25" customHeight="1" x14ac:dyDescent="0.3">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spans="1:26" s="54" customFormat="1" ht="14.25" customHeight="1" x14ac:dyDescent="0.3">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spans="1:26" s="54" customFormat="1" ht="14.25" customHeight="1" x14ac:dyDescent="0.3">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spans="1:26" s="54" customFormat="1" ht="14.25" customHeight="1" x14ac:dyDescent="0.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spans="1:26" s="54" customFormat="1" ht="14.25" customHeight="1" x14ac:dyDescent="0.3">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spans="1:26" s="54" customFormat="1" ht="14.25" customHeight="1" x14ac:dyDescent="0.3">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spans="1:26" s="54" customFormat="1" ht="14.25" customHeight="1" x14ac:dyDescent="0.3">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spans="1:26" s="54" customFormat="1" ht="14.25" customHeight="1" x14ac:dyDescent="0.3">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spans="1:26" s="54" customFormat="1" ht="14.25" customHeight="1" x14ac:dyDescent="0.3">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spans="1:26" s="54" customFormat="1" ht="14.25" customHeight="1" x14ac:dyDescent="0.3">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spans="1:26" s="54" customFormat="1" ht="14.25" customHeight="1" x14ac:dyDescent="0.3">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spans="1:26" s="54" customFormat="1" ht="14.25" customHeight="1" x14ac:dyDescent="0.3">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spans="1:26" s="54" customFormat="1" ht="14.25" customHeight="1" x14ac:dyDescent="0.3">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spans="1:26" s="54" customFormat="1" ht="14.25" customHeight="1" x14ac:dyDescent="0.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spans="1:26" s="54" customFormat="1" ht="14.25" customHeight="1" x14ac:dyDescent="0.3">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spans="1:26" s="54" customFormat="1" ht="14.25" customHeight="1" x14ac:dyDescent="0.3">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spans="1:26" s="54" customFormat="1" ht="14.25" customHeight="1" x14ac:dyDescent="0.3">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spans="1:26" s="54" customFormat="1" ht="14.25" customHeight="1" x14ac:dyDescent="0.3">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spans="1:26" s="54" customFormat="1" ht="14.25" customHeight="1" x14ac:dyDescent="0.3">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spans="1:26" s="54" customFormat="1" ht="14.25" customHeight="1" x14ac:dyDescent="0.3">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spans="1:26" s="54" customFormat="1" ht="14.25" customHeight="1" x14ac:dyDescent="0.3">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spans="1:26" s="54" customFormat="1" ht="14.25" customHeight="1" x14ac:dyDescent="0.3">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spans="1:26" s="54" customFormat="1" ht="14.25" customHeight="1" x14ac:dyDescent="0.3">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spans="1:26" s="54" customFormat="1" ht="14.25" customHeight="1" x14ac:dyDescent="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spans="1:26" s="54" customFormat="1" ht="14.25" customHeight="1" x14ac:dyDescent="0.3">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spans="1:26" s="54" customFormat="1" ht="14.25" customHeight="1" x14ac:dyDescent="0.3">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spans="1:26" s="54" customFormat="1" ht="14.25" customHeight="1" x14ac:dyDescent="0.3">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spans="1:26" s="54" customFormat="1" ht="14.25" customHeight="1" x14ac:dyDescent="0.3">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spans="1:26" s="54" customFormat="1" ht="14.25" customHeight="1" x14ac:dyDescent="0.3">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spans="1:26" s="54" customFormat="1" ht="14.25" customHeight="1" x14ac:dyDescent="0.3">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spans="1:26" s="54" customFormat="1" ht="14.25" customHeight="1" x14ac:dyDescent="0.3">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spans="1:26" s="54" customFormat="1" ht="14.25" customHeight="1" x14ac:dyDescent="0.3">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spans="1:26" s="54" customFormat="1" ht="14.25" customHeight="1" x14ac:dyDescent="0.3">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spans="1:26" s="54" customFormat="1" ht="14.25" customHeight="1" x14ac:dyDescent="0.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spans="1:26" s="54" customFormat="1" ht="14.25" customHeight="1" x14ac:dyDescent="0.3">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spans="1:26" s="54" customFormat="1" ht="14.25" customHeight="1" x14ac:dyDescent="0.3">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spans="1:26" s="54" customFormat="1" ht="14.25" customHeight="1" x14ac:dyDescent="0.3">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spans="1:26" s="54" customFormat="1" ht="14.25" customHeight="1" x14ac:dyDescent="0.3">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spans="1:26" s="54" customFormat="1" ht="14.25" customHeight="1" x14ac:dyDescent="0.3">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spans="1:26" s="54" customFormat="1" ht="14.25" customHeight="1" x14ac:dyDescent="0.3">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spans="1:26" s="54" customFormat="1" ht="14.25" customHeight="1" x14ac:dyDescent="0.3">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spans="1:26" s="54" customFormat="1" ht="14.25" customHeight="1" x14ac:dyDescent="0.3">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spans="1:26" s="54" customFormat="1" ht="14.25" customHeight="1" x14ac:dyDescent="0.3">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spans="1:26" s="54" customFormat="1" ht="14.25" customHeight="1" x14ac:dyDescent="0.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spans="1:26" s="54" customFormat="1" ht="14.25" customHeight="1" x14ac:dyDescent="0.3">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spans="1:26" s="54" customFormat="1" ht="14.25" customHeight="1" x14ac:dyDescent="0.3">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spans="1:26" s="54" customFormat="1" ht="14.25" customHeight="1" x14ac:dyDescent="0.3">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spans="1:26" s="54" customFormat="1" ht="14.25" customHeight="1" x14ac:dyDescent="0.3">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spans="1:26" s="54" customFormat="1" ht="14.25" customHeight="1" x14ac:dyDescent="0.3">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spans="1:26" s="54" customFormat="1" ht="14.25" customHeight="1" x14ac:dyDescent="0.3">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spans="1:26" s="54" customFormat="1" ht="14.25" customHeight="1" x14ac:dyDescent="0.3">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spans="1:26" s="54" customFormat="1" ht="14.25" customHeight="1" x14ac:dyDescent="0.3">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spans="1:26" s="54" customFormat="1" ht="14.25" customHeight="1" x14ac:dyDescent="0.3">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spans="1:26" s="54" customFormat="1" ht="14.25" customHeight="1" x14ac:dyDescent="0.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spans="1:26" s="54" customFormat="1" ht="14.25" customHeight="1" x14ac:dyDescent="0.3">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spans="1:26" s="54" customFormat="1" ht="14.25" customHeight="1" x14ac:dyDescent="0.3">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spans="1:26" s="54" customFormat="1" ht="14.25" customHeight="1" x14ac:dyDescent="0.3">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spans="1:26" s="54" customFormat="1" ht="14.25" customHeight="1" x14ac:dyDescent="0.3">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spans="1:26" s="54" customFormat="1" ht="14.25" customHeight="1" x14ac:dyDescent="0.3">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spans="1:26" s="54" customFormat="1" ht="14.25" customHeight="1" x14ac:dyDescent="0.3">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spans="1:26" s="54" customFormat="1" ht="14.25" customHeight="1" x14ac:dyDescent="0.3">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spans="1:26" s="54" customFormat="1" ht="14.25" customHeight="1" x14ac:dyDescent="0.3">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spans="1:26" s="54" customFormat="1" ht="14.25" customHeight="1" x14ac:dyDescent="0.3">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spans="1:26" s="54" customFormat="1" ht="14.25" customHeight="1" x14ac:dyDescent="0.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spans="1:26" s="54" customFormat="1" ht="14.25" customHeight="1" x14ac:dyDescent="0.3">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spans="1:26" s="54" customFormat="1" ht="14.25" customHeight="1" x14ac:dyDescent="0.3">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spans="1:26" s="54" customFormat="1" ht="14.25" customHeight="1" x14ac:dyDescent="0.3">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spans="1:26" s="54" customFormat="1" ht="14.25" customHeight="1" x14ac:dyDescent="0.3">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spans="1:26" s="54" customFormat="1" ht="14.25" customHeight="1" x14ac:dyDescent="0.3">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spans="1:26" s="54" customFormat="1" ht="14.25" customHeight="1" x14ac:dyDescent="0.3">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spans="1:26" s="54" customFormat="1" ht="14.25" customHeight="1" x14ac:dyDescent="0.3">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spans="1:26" s="54" customFormat="1" ht="14.25" customHeight="1" x14ac:dyDescent="0.3">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spans="1:26" s="54" customFormat="1" ht="14.25" customHeight="1" x14ac:dyDescent="0.3">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spans="1:26" s="54" customFormat="1" ht="14.25" customHeight="1" x14ac:dyDescent="0.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spans="1:26" s="54" customFormat="1" ht="14.25" customHeight="1" x14ac:dyDescent="0.3">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spans="1:26" s="54" customFormat="1" ht="14.25" customHeight="1" x14ac:dyDescent="0.3">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spans="1:26" s="54" customFormat="1" ht="14.25" customHeight="1" x14ac:dyDescent="0.3">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spans="1:26" s="54" customFormat="1" ht="14.25" customHeight="1" x14ac:dyDescent="0.3">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spans="1:26" s="54" customFormat="1" ht="14.25" customHeight="1" x14ac:dyDescent="0.3">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spans="1:26" s="54" customFormat="1" ht="14.25" customHeight="1" x14ac:dyDescent="0.3">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spans="1:26" s="54" customFormat="1" ht="14.25" customHeight="1" x14ac:dyDescent="0.3">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spans="1:26" s="54" customFormat="1" ht="14.25" customHeight="1" x14ac:dyDescent="0.3">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spans="1:26" s="54" customFormat="1" ht="14.25" customHeight="1" x14ac:dyDescent="0.3">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spans="1:26" s="54" customFormat="1" ht="14.25" customHeight="1" x14ac:dyDescent="0.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spans="1:26" s="54" customFormat="1" ht="14.25" customHeight="1" x14ac:dyDescent="0.3">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spans="1:26" s="54" customFormat="1" ht="14.25" customHeight="1" x14ac:dyDescent="0.3">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spans="1:26" s="54" customFormat="1" ht="14.25" customHeight="1" x14ac:dyDescent="0.3">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spans="1:26" s="54" customFormat="1" ht="14.25" customHeight="1" x14ac:dyDescent="0.3">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spans="1:26" s="54" customFormat="1" ht="14.25" customHeight="1" x14ac:dyDescent="0.3">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spans="1:26" s="54" customFormat="1" ht="14.25" customHeight="1" x14ac:dyDescent="0.3">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spans="1:26" s="54" customFormat="1" ht="14.25" customHeight="1" x14ac:dyDescent="0.3">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spans="1:26" s="54" customFormat="1" ht="14.25" customHeight="1" x14ac:dyDescent="0.3">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spans="1:26" s="54" customFormat="1" ht="14.25" customHeight="1" x14ac:dyDescent="0.3">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spans="1:26" s="54" customFormat="1" ht="14.25" customHeight="1" x14ac:dyDescent="0.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spans="1:26" s="54" customFormat="1" ht="14.25" customHeight="1" x14ac:dyDescent="0.3">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spans="1:26" s="54" customFormat="1" ht="14.25" customHeight="1" x14ac:dyDescent="0.3">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spans="1:26" s="54" customFormat="1" ht="14.25" customHeight="1" x14ac:dyDescent="0.3">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spans="1:26" s="54" customFormat="1" ht="14.25" customHeight="1" x14ac:dyDescent="0.3">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spans="1:26" s="54" customFormat="1" ht="14.25" customHeight="1" x14ac:dyDescent="0.3">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spans="1:26" s="54" customFormat="1" ht="14.25" customHeight="1" x14ac:dyDescent="0.3">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spans="1:26" s="54" customFormat="1" ht="14.25" customHeight="1" x14ac:dyDescent="0.3">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spans="1:26" s="54" customFormat="1" ht="14.25" customHeight="1" x14ac:dyDescent="0.3">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spans="1:26" s="54" customFormat="1" ht="14.25" customHeight="1" x14ac:dyDescent="0.3">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spans="1:26" s="54" customFormat="1" ht="14.25" customHeight="1" x14ac:dyDescent="0.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spans="1:26" s="54" customFormat="1" ht="14.25" customHeight="1" x14ac:dyDescent="0.3">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spans="1:26" s="54" customFormat="1" ht="14.25" customHeight="1" x14ac:dyDescent="0.3">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spans="1:26" s="54" customFormat="1" ht="14.25" customHeight="1" x14ac:dyDescent="0.3">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spans="1:26" s="54" customFormat="1" ht="14.25" customHeight="1" x14ac:dyDescent="0.3">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spans="1:26" s="54" customFormat="1" ht="14.25" customHeight="1" x14ac:dyDescent="0.3">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spans="1:26" s="54" customFormat="1" ht="14.25" customHeight="1" x14ac:dyDescent="0.3">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spans="1:26" s="54" customFormat="1" ht="14.25" customHeight="1" x14ac:dyDescent="0.3">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spans="1:26" s="54" customFormat="1" ht="14.25" customHeight="1" x14ac:dyDescent="0.3">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s="54" customFormat="1" ht="14.25" customHeight="1" x14ac:dyDescent="0.3">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spans="1:26" s="54" customFormat="1" ht="14.25" customHeight="1" x14ac:dyDescent="0.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spans="1:26" s="54" customFormat="1" ht="14.25" customHeight="1" x14ac:dyDescent="0.3">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spans="1:26" s="54" customFormat="1" ht="14.25" customHeight="1" x14ac:dyDescent="0.3">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spans="1:26" s="54" customFormat="1" ht="14.25" customHeight="1" x14ac:dyDescent="0.3">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spans="1:26" s="54" customFormat="1" ht="14.25" customHeight="1" x14ac:dyDescent="0.3">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spans="1:26" s="54" customFormat="1" ht="14.25" customHeight="1" x14ac:dyDescent="0.3">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spans="1:26" s="54" customFormat="1" ht="14.25" customHeight="1" x14ac:dyDescent="0.3">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spans="1:26" s="54" customFormat="1" ht="14.25" customHeight="1" x14ac:dyDescent="0.3">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spans="1:26" s="54" customFormat="1" ht="14.25" customHeight="1" x14ac:dyDescent="0.3">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s="54" customFormat="1" ht="14.25" customHeight="1" x14ac:dyDescent="0.3">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spans="1:26" s="54" customFormat="1" ht="14.25" customHeight="1" x14ac:dyDescent="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s="54" customFormat="1" ht="14.25" customHeight="1" x14ac:dyDescent="0.3">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s="54" customFormat="1" ht="14.25" customHeight="1" x14ac:dyDescent="0.3">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s="54" customFormat="1" ht="14.25" customHeight="1" x14ac:dyDescent="0.3">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s="54" customFormat="1" ht="14.25" customHeight="1" x14ac:dyDescent="0.3">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spans="1:26" s="54" customFormat="1" ht="14.25" customHeight="1" x14ac:dyDescent="0.3">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spans="1:26" s="54" customFormat="1" ht="14.25" customHeight="1" x14ac:dyDescent="0.3">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spans="1:26" s="54" customFormat="1" ht="14.25" customHeight="1" x14ac:dyDescent="0.3">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spans="1:26" s="54" customFormat="1" ht="14.25" customHeight="1" x14ac:dyDescent="0.3">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spans="1:26" s="54" customFormat="1" ht="14.25" customHeight="1" x14ac:dyDescent="0.3">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s="54" customFormat="1" ht="14.25" customHeight="1" x14ac:dyDescent="0.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s="54" customFormat="1" ht="14.25" customHeight="1" x14ac:dyDescent="0.3">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s="54" customFormat="1" ht="14.25" customHeight="1" x14ac:dyDescent="0.3">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s="54" customFormat="1" ht="14.25" customHeight="1" x14ac:dyDescent="0.3">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s="54" customFormat="1" ht="14.25" customHeight="1" x14ac:dyDescent="0.3">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s="54" customFormat="1" ht="14.25" customHeight="1" x14ac:dyDescent="0.3">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s="54" customFormat="1" ht="14.25" customHeight="1" x14ac:dyDescent="0.3">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s="54" customFormat="1" ht="14.25" customHeight="1" x14ac:dyDescent="0.3">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s="54" customFormat="1" ht="14.25" customHeight="1" x14ac:dyDescent="0.3">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s="54" customFormat="1" ht="14.25" customHeight="1" x14ac:dyDescent="0.3">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s="54" customFormat="1" ht="14.25" customHeight="1" x14ac:dyDescent="0.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s="54" customFormat="1" ht="14.25" customHeight="1" x14ac:dyDescent="0.3">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s="54" customFormat="1" ht="14.25" customHeight="1" x14ac:dyDescent="0.3">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s="54" customFormat="1" ht="14.25" customHeight="1" x14ac:dyDescent="0.3">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s="54" customFormat="1" ht="14.25" customHeight="1" x14ac:dyDescent="0.3">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s="54" customFormat="1" ht="14.25" customHeight="1" x14ac:dyDescent="0.3">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s="54" customFormat="1" ht="14.25" customHeight="1" x14ac:dyDescent="0.3">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s="54" customFormat="1" ht="14.25" customHeight="1" x14ac:dyDescent="0.3">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s="54" customFormat="1" ht="14.25" customHeight="1" x14ac:dyDescent="0.3">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s="54" customFormat="1" ht="14.25" customHeight="1" x14ac:dyDescent="0.3">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s="54" customFormat="1" ht="14.25" customHeight="1" x14ac:dyDescent="0.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s="54" customFormat="1" ht="14.25" customHeight="1" x14ac:dyDescent="0.3">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s="54" customFormat="1" ht="14.25" customHeight="1" x14ac:dyDescent="0.3">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s="54" customFormat="1" ht="14.25" customHeight="1" x14ac:dyDescent="0.3">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s="54" customFormat="1" ht="14.25" customHeight="1" x14ac:dyDescent="0.3">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s="54" customFormat="1" ht="14.25" customHeight="1" x14ac:dyDescent="0.3">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s="54" customFormat="1" ht="14.25" customHeight="1" x14ac:dyDescent="0.3">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s="54" customFormat="1" ht="14.25" customHeight="1" x14ac:dyDescent="0.3">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s="54" customFormat="1" ht="14.25" customHeight="1" x14ac:dyDescent="0.3">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s="54" customFormat="1" ht="14.25" customHeight="1" x14ac:dyDescent="0.3">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s="54" customFormat="1" ht="14.25" customHeight="1" x14ac:dyDescent="0.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s="54" customFormat="1" ht="14.25" customHeight="1" x14ac:dyDescent="0.3">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s="54" customFormat="1" ht="14.25" customHeight="1" x14ac:dyDescent="0.3">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s="54" customFormat="1" ht="14.25" customHeight="1" x14ac:dyDescent="0.3">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s="54" customFormat="1" ht="14.25" customHeight="1" x14ac:dyDescent="0.3">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s="54" customFormat="1" ht="14.25" customHeight="1" x14ac:dyDescent="0.3">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s="54" customFormat="1" ht="14.25" customHeight="1" x14ac:dyDescent="0.3">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s="54" customFormat="1" ht="14.25" customHeight="1" x14ac:dyDescent="0.3">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s="54" customFormat="1" ht="14.25" customHeight="1" x14ac:dyDescent="0.3">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s="54" customFormat="1" ht="14.25" customHeight="1" x14ac:dyDescent="0.3">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s="54" customFormat="1" ht="14.25" customHeight="1" x14ac:dyDescent="0.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s="54" customFormat="1" ht="14.25" customHeight="1" x14ac:dyDescent="0.3">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s="54" customFormat="1" ht="14.25" customHeight="1" x14ac:dyDescent="0.3">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s="54" customFormat="1" ht="14.25" customHeight="1" x14ac:dyDescent="0.3">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s="54" customFormat="1" ht="14.25" customHeight="1" x14ac:dyDescent="0.3">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s="54" customFormat="1" ht="14.25" customHeight="1" x14ac:dyDescent="0.3">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s="54" customFormat="1" ht="14.25" customHeight="1" x14ac:dyDescent="0.3">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s="54" customFormat="1" ht="14.25" customHeight="1" x14ac:dyDescent="0.3">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s="54" customFormat="1" ht="14.25" customHeight="1" x14ac:dyDescent="0.3">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s="54" customFormat="1" ht="14.25" customHeight="1" x14ac:dyDescent="0.3">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s="54" customFormat="1" ht="14.25" customHeight="1" x14ac:dyDescent="0.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s="54" customFormat="1" ht="14.25" customHeight="1" x14ac:dyDescent="0.3">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s="54" customFormat="1" ht="14.25" customHeight="1" x14ac:dyDescent="0.3">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s="54" customFormat="1" ht="14.25" customHeight="1" x14ac:dyDescent="0.3">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s="54" customFormat="1" ht="14.25" customHeight="1" x14ac:dyDescent="0.3">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s="54" customFormat="1" ht="14.25" customHeight="1" x14ac:dyDescent="0.3">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s="54" customFormat="1" ht="14.25" customHeight="1" x14ac:dyDescent="0.3">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s="54" customFormat="1" ht="14.25" customHeight="1" x14ac:dyDescent="0.3">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s="54" customFormat="1" ht="14.25" customHeight="1" x14ac:dyDescent="0.3">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s="54" customFormat="1" ht="14.25" customHeight="1" x14ac:dyDescent="0.3">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s="54" customFormat="1" ht="14.25" customHeight="1" x14ac:dyDescent="0.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s="54" customFormat="1" ht="14.25" customHeight="1" x14ac:dyDescent="0.3">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s="54" customFormat="1" ht="14.25" customHeight="1" x14ac:dyDescent="0.3">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s="54" customFormat="1" ht="14.25" customHeight="1" x14ac:dyDescent="0.3">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s="54" customFormat="1" ht="14.25" customHeight="1" x14ac:dyDescent="0.3">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s="54" customFormat="1" ht="14.25" customHeight="1" x14ac:dyDescent="0.3">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s="54" customFormat="1" ht="14.25" customHeight="1" x14ac:dyDescent="0.3">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s="54" customFormat="1" ht="14.25" customHeight="1" x14ac:dyDescent="0.3">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s="54" customFormat="1" ht="14.25" customHeight="1" x14ac:dyDescent="0.3">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s="54" customFormat="1" ht="14.25" customHeight="1" x14ac:dyDescent="0.3">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s="54" customFormat="1" ht="14.25" customHeight="1" x14ac:dyDescent="0.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s="54" customFormat="1" ht="14.25" customHeight="1" x14ac:dyDescent="0.3">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s="54" customFormat="1" ht="14.25" customHeight="1" x14ac:dyDescent="0.3">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s="54" customFormat="1" ht="14.25" customHeight="1" x14ac:dyDescent="0.3">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s="54" customFormat="1" ht="14.25" customHeight="1" x14ac:dyDescent="0.3">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s="54" customFormat="1" ht="14.25" customHeight="1" x14ac:dyDescent="0.3">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s="54" customFormat="1" ht="14.25" customHeight="1" x14ac:dyDescent="0.3">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s="54" customFormat="1" ht="14.25" customHeight="1" x14ac:dyDescent="0.3">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s="54" customFormat="1" ht="14.25" customHeight="1" x14ac:dyDescent="0.3">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s="54" customFormat="1" ht="14.25" customHeight="1" x14ac:dyDescent="0.3">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s="54" customFormat="1" ht="14.25" customHeight="1" x14ac:dyDescent="0.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s="54" customFormat="1" ht="14.25" customHeight="1" x14ac:dyDescent="0.3">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s="54" customFormat="1" ht="14.25" customHeight="1" x14ac:dyDescent="0.3">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s="54" customFormat="1" ht="14.25" customHeight="1" x14ac:dyDescent="0.3">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s="54" customFormat="1" ht="14.25" customHeight="1" x14ac:dyDescent="0.3">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s="54" customFormat="1" ht="14.25" customHeight="1" x14ac:dyDescent="0.3">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s="54" customFormat="1" ht="14.25" customHeight="1" x14ac:dyDescent="0.3">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s="54" customFormat="1" ht="14.25" customHeight="1" x14ac:dyDescent="0.3">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s="54" customFormat="1" ht="14.25" customHeight="1" x14ac:dyDescent="0.3">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s="54" customFormat="1" ht="14.25" customHeight="1" x14ac:dyDescent="0.3">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s="54" customFormat="1" ht="14.25" customHeight="1" x14ac:dyDescent="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s="54" customFormat="1" ht="14.25" customHeight="1" x14ac:dyDescent="0.3">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s="54" customFormat="1" ht="14.25" customHeight="1" x14ac:dyDescent="0.3">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s="54" customFormat="1" ht="14.25" customHeight="1" x14ac:dyDescent="0.3">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s="54" customFormat="1" ht="14.25" customHeight="1" x14ac:dyDescent="0.3">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s="54" customFormat="1" ht="14.25" customHeight="1" x14ac:dyDescent="0.3">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s="54" customFormat="1" ht="14.25" customHeight="1" x14ac:dyDescent="0.3">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s="54" customFormat="1" ht="14.25" customHeight="1" x14ac:dyDescent="0.3">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s="54" customFormat="1" ht="14.25" customHeight="1" x14ac:dyDescent="0.3">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s="54" customFormat="1" ht="14.25" customHeight="1" x14ac:dyDescent="0.3">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s="54" customFormat="1" ht="14.25" customHeight="1" x14ac:dyDescent="0.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s="54" customFormat="1" ht="14.25" customHeight="1" x14ac:dyDescent="0.3">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s="54" customFormat="1" ht="14.25" customHeight="1" x14ac:dyDescent="0.3">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s="54" customFormat="1" ht="14.25" customHeight="1" x14ac:dyDescent="0.3">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s="54" customFormat="1" ht="14.25" customHeight="1" x14ac:dyDescent="0.3">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s="54" customFormat="1" ht="14.25" customHeight="1" x14ac:dyDescent="0.3">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s="54" customFormat="1" ht="14.25" customHeight="1" x14ac:dyDescent="0.3">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s="54" customFormat="1" ht="14.25" customHeight="1" x14ac:dyDescent="0.3">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s="54" customFormat="1" ht="14.25" customHeight="1" x14ac:dyDescent="0.3">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s="54" customFormat="1" ht="14.25" customHeight="1" x14ac:dyDescent="0.3">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s="54" customFormat="1" ht="14.25" customHeight="1" x14ac:dyDescent="0.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s="54" customFormat="1" ht="14.25" customHeight="1" x14ac:dyDescent="0.3">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s="54" customFormat="1" ht="14.25" customHeight="1" x14ac:dyDescent="0.3">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s="54" customFormat="1" ht="14.25" customHeight="1" x14ac:dyDescent="0.3">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s="54" customFormat="1" ht="14.25" customHeight="1" x14ac:dyDescent="0.3">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s="54" customFormat="1" ht="14.25" customHeight="1" x14ac:dyDescent="0.3">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s="54" customFormat="1" ht="14.25" customHeight="1" x14ac:dyDescent="0.3">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s="54" customFormat="1" ht="14.25" customHeight="1" x14ac:dyDescent="0.3">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s="54" customFormat="1" ht="14.25" customHeight="1" x14ac:dyDescent="0.3">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s="54" customFormat="1" ht="14.25" customHeight="1" x14ac:dyDescent="0.3">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s="54" customFormat="1" ht="14.25" customHeight="1" x14ac:dyDescent="0.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s="54" customFormat="1" ht="14.25" customHeight="1" x14ac:dyDescent="0.3">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s="54" customFormat="1" ht="14.25" customHeight="1" x14ac:dyDescent="0.3">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s="54" customFormat="1" ht="14.25" customHeight="1" x14ac:dyDescent="0.3">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s="54" customFormat="1" ht="14.25" customHeight="1" x14ac:dyDescent="0.3">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s="54" customFormat="1" ht="14.25" customHeight="1" x14ac:dyDescent="0.3">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s="54" customFormat="1" ht="14.25" customHeight="1" x14ac:dyDescent="0.3">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s="54" customFormat="1" ht="14.25" customHeight="1" x14ac:dyDescent="0.3">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s="54" customFormat="1" ht="14.25" customHeight="1" x14ac:dyDescent="0.3">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s="54" customFormat="1" ht="14.25" customHeight="1" x14ac:dyDescent="0.3">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s="54" customFormat="1" ht="14.25" customHeight="1" x14ac:dyDescent="0.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s="54" customFormat="1" ht="14.25" customHeight="1" x14ac:dyDescent="0.3">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s="54" customFormat="1" ht="14.25" customHeight="1" x14ac:dyDescent="0.3">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s="54" customFormat="1" ht="14.25" customHeight="1" x14ac:dyDescent="0.3">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s="54" customFormat="1" ht="14.25" customHeight="1" x14ac:dyDescent="0.3">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s="54" customFormat="1" ht="14.25" customHeight="1" x14ac:dyDescent="0.3">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s="54" customFormat="1" ht="14.25" customHeight="1" x14ac:dyDescent="0.3">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s="54" customFormat="1" ht="14.25" customHeight="1" x14ac:dyDescent="0.3">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s="54" customFormat="1" ht="14.25" customHeight="1" x14ac:dyDescent="0.3">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s="54" customFormat="1" ht="14.25" customHeight="1" x14ac:dyDescent="0.3">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s="54" customFormat="1" ht="14.25" customHeight="1" x14ac:dyDescent="0.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s="54" customFormat="1" ht="14.25" customHeight="1" x14ac:dyDescent="0.3">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s="54" customFormat="1" ht="14.25" customHeight="1" x14ac:dyDescent="0.3">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s="54" customFormat="1" ht="14.25" customHeight="1" x14ac:dyDescent="0.3">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s="54" customFormat="1" ht="14.25" customHeight="1" x14ac:dyDescent="0.3">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s="54" customFormat="1" ht="14.25" customHeight="1" x14ac:dyDescent="0.3">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s="54" customFormat="1" ht="14.25" customHeight="1" x14ac:dyDescent="0.3">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s="54" customFormat="1" ht="14.25" customHeight="1" x14ac:dyDescent="0.3">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s="54" customFormat="1" ht="14.25" customHeight="1" x14ac:dyDescent="0.3">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s="54" customFormat="1" ht="14.25" customHeight="1" x14ac:dyDescent="0.3">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s="54" customFormat="1" ht="14.25" customHeight="1" x14ac:dyDescent="0.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s="54" customFormat="1" ht="14.25" customHeight="1" x14ac:dyDescent="0.3">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s="54" customFormat="1" ht="14.25" customHeight="1" x14ac:dyDescent="0.3">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s="54" customFormat="1" ht="14.25" customHeight="1" x14ac:dyDescent="0.3">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s="54" customFormat="1" ht="14.25" customHeight="1" x14ac:dyDescent="0.3">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s="54" customFormat="1" ht="14.25" customHeight="1" x14ac:dyDescent="0.3">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s="54" customFormat="1" ht="14.25" customHeight="1" x14ac:dyDescent="0.3">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s="54" customFormat="1" ht="14.25" customHeight="1" x14ac:dyDescent="0.3">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s="54" customFormat="1" ht="14.25" customHeight="1" x14ac:dyDescent="0.3">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s="54" customFormat="1" ht="14.25" customHeight="1" x14ac:dyDescent="0.3">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s="54" customFormat="1" ht="14.25" customHeight="1" x14ac:dyDescent="0.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s="54" customFormat="1" ht="14.25" customHeight="1" x14ac:dyDescent="0.3">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s="54" customFormat="1" ht="14.25" customHeight="1" x14ac:dyDescent="0.3">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s="54" customFormat="1" ht="14.25" customHeight="1" x14ac:dyDescent="0.3">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s="54" customFormat="1" ht="14.25" customHeight="1" x14ac:dyDescent="0.3">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s="54" customFormat="1" ht="14.25" customHeight="1" x14ac:dyDescent="0.3">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s="54" customFormat="1" ht="14.25" customHeight="1" x14ac:dyDescent="0.3">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s="54" customFormat="1" ht="14.25" customHeight="1" x14ac:dyDescent="0.3">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s="54" customFormat="1" ht="14.25" customHeight="1" x14ac:dyDescent="0.3">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s="54" customFormat="1" ht="14.25" customHeight="1" x14ac:dyDescent="0.3">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s="54" customFormat="1" ht="14.25" customHeight="1" x14ac:dyDescent="0.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s="54" customFormat="1" ht="14.25" customHeight="1" x14ac:dyDescent="0.3">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s="54" customFormat="1" ht="14.25" customHeight="1" x14ac:dyDescent="0.3">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s="54" customFormat="1" ht="14.25" customHeight="1" x14ac:dyDescent="0.3">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s="54" customFormat="1" ht="14.25" customHeight="1" x14ac:dyDescent="0.3">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s="54" customFormat="1" ht="14.25" customHeight="1" x14ac:dyDescent="0.3">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s="54" customFormat="1" ht="14.25" customHeight="1" x14ac:dyDescent="0.3">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s="54" customFormat="1" ht="14.25" customHeight="1" x14ac:dyDescent="0.3">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s="54" customFormat="1" ht="14.25" customHeight="1" x14ac:dyDescent="0.3">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s="54" customFormat="1" ht="14.25" customHeight="1" x14ac:dyDescent="0.3">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s="54" customFormat="1" ht="14.25" customHeight="1" x14ac:dyDescent="0.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s="54" customFormat="1" ht="14.25" customHeight="1" x14ac:dyDescent="0.3">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s="54" customFormat="1" ht="14.25" customHeight="1" x14ac:dyDescent="0.3">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s="54" customFormat="1" ht="14.25" customHeight="1" x14ac:dyDescent="0.3">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s="54" customFormat="1" ht="14.25" customHeight="1" x14ac:dyDescent="0.3">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s="54" customFormat="1" ht="14.25" customHeight="1" x14ac:dyDescent="0.3">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s="54" customFormat="1" ht="14.25" customHeight="1" x14ac:dyDescent="0.3">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s="54" customFormat="1" ht="14.25" customHeight="1" x14ac:dyDescent="0.3">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s="54" customFormat="1" ht="14.25" customHeight="1" x14ac:dyDescent="0.3">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s="54" customFormat="1" ht="14.25" customHeight="1" x14ac:dyDescent="0.3">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s="54" customFormat="1" ht="14.25" customHeight="1" x14ac:dyDescent="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s="54" customFormat="1" ht="14.25" customHeight="1" x14ac:dyDescent="0.3">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s="54" customFormat="1" ht="14.25" customHeight="1" x14ac:dyDescent="0.3">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s="54" customFormat="1" ht="14.25" customHeight="1" x14ac:dyDescent="0.3">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s="54" customFormat="1" ht="14.25" customHeight="1" x14ac:dyDescent="0.3">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s="54" customFormat="1" ht="14.25" customHeight="1" x14ac:dyDescent="0.3">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s="54" customFormat="1" ht="14.25" customHeight="1" x14ac:dyDescent="0.3">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s="54" customFormat="1" ht="14.25" customHeight="1" x14ac:dyDescent="0.3">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s="54" customFormat="1" ht="14.25" customHeight="1" x14ac:dyDescent="0.3">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s="54" customFormat="1" ht="14.25" customHeight="1" x14ac:dyDescent="0.3">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s="54" customFormat="1" ht="14.25" customHeight="1" x14ac:dyDescent="0.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s="54" customFormat="1" ht="14.25" customHeight="1" x14ac:dyDescent="0.3">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s="54" customFormat="1" ht="14.25" customHeight="1" x14ac:dyDescent="0.3">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s="54" customFormat="1" ht="14.25" customHeight="1" x14ac:dyDescent="0.3">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s="54" customFormat="1" ht="14.25" customHeight="1" x14ac:dyDescent="0.3">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s="54" customFormat="1" ht="14.25" customHeight="1" x14ac:dyDescent="0.3">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s="54" customFormat="1" ht="14.25" customHeight="1" x14ac:dyDescent="0.3">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s="54" customFormat="1" ht="14.25" customHeight="1" x14ac:dyDescent="0.3">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s="54" customFormat="1" ht="14.25" customHeight="1" x14ac:dyDescent="0.3">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s="54" customFormat="1" ht="14.25" customHeight="1" x14ac:dyDescent="0.3">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s="54" customFormat="1" ht="14.25" customHeight="1" x14ac:dyDescent="0.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s="54" customFormat="1" ht="14.25" customHeight="1" x14ac:dyDescent="0.3">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s="54" customFormat="1" ht="14.25" customHeight="1" x14ac:dyDescent="0.3">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s="54" customFormat="1" ht="14.25" customHeight="1" x14ac:dyDescent="0.3">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s="54" customFormat="1" ht="14.25" customHeight="1" x14ac:dyDescent="0.3">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s="54" customFormat="1" ht="14.25" customHeight="1" x14ac:dyDescent="0.3">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s="54" customFormat="1" ht="14.25" customHeight="1" x14ac:dyDescent="0.3">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s="54" customFormat="1" ht="14.25" customHeight="1" x14ac:dyDescent="0.3">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s="54" customFormat="1" ht="14.25" customHeight="1" x14ac:dyDescent="0.3">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s="54" customFormat="1" ht="14.25" customHeight="1" x14ac:dyDescent="0.3">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s="54" customFormat="1" ht="14.25" customHeight="1" x14ac:dyDescent="0.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s="54" customFormat="1" ht="14.25" customHeight="1" x14ac:dyDescent="0.3">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s="54" customFormat="1" ht="14.25" customHeight="1" x14ac:dyDescent="0.3">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s="54" customFormat="1" ht="14.25" customHeight="1" x14ac:dyDescent="0.3">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s="54" customFormat="1" ht="14.25" customHeight="1" x14ac:dyDescent="0.3">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s="54" customFormat="1" ht="14.25" customHeight="1" x14ac:dyDescent="0.3">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s="54" customFormat="1" ht="14.25" customHeight="1" x14ac:dyDescent="0.3">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s="54" customFormat="1" ht="14.25" customHeight="1" x14ac:dyDescent="0.3">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s="54" customFormat="1" ht="14.25" customHeight="1" x14ac:dyDescent="0.3">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s="54" customFormat="1" ht="14.25" customHeight="1" x14ac:dyDescent="0.3">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s="54" customFormat="1" ht="14.25" customHeight="1" x14ac:dyDescent="0.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s="54" customFormat="1" ht="14.25" customHeight="1" x14ac:dyDescent="0.3">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s="54" customFormat="1" ht="14.25" customHeight="1" x14ac:dyDescent="0.3">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s="54" customFormat="1" ht="14.25" customHeight="1" x14ac:dyDescent="0.3">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s="54" customFormat="1" ht="14.25" customHeight="1" x14ac:dyDescent="0.3">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s="54" customFormat="1" ht="14.25" customHeight="1" x14ac:dyDescent="0.3">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s="54" customFormat="1" ht="14.25" customHeight="1" x14ac:dyDescent="0.3">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s="54" customFormat="1" ht="14.25" customHeight="1" x14ac:dyDescent="0.3">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s="54" customFormat="1" ht="14.25" customHeight="1" x14ac:dyDescent="0.3">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s="54" customFormat="1" ht="14.25" customHeight="1" x14ac:dyDescent="0.3">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s="54" customFormat="1" ht="14.25" customHeight="1" x14ac:dyDescent="0.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s="54" customFormat="1" ht="14.25" customHeight="1" x14ac:dyDescent="0.3">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s="54" customFormat="1" ht="14.25" customHeight="1" x14ac:dyDescent="0.3">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s="54" customFormat="1" ht="14.25" customHeight="1" x14ac:dyDescent="0.3">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s="54" customFormat="1" ht="14.25" customHeight="1" x14ac:dyDescent="0.3">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s="54" customFormat="1" ht="14.25" customHeight="1" x14ac:dyDescent="0.3">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s="54" customFormat="1" ht="14.25" customHeight="1" x14ac:dyDescent="0.3">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s="54" customFormat="1" ht="14.25" customHeight="1" x14ac:dyDescent="0.3">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s="54" customFormat="1" ht="14.25" customHeight="1" x14ac:dyDescent="0.3">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s="54" customFormat="1" ht="14.25" customHeight="1" x14ac:dyDescent="0.3">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s="54" customFormat="1" ht="14.25" customHeight="1" x14ac:dyDescent="0.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s="54" customFormat="1" ht="14.25" customHeight="1" x14ac:dyDescent="0.3">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s="54" customFormat="1" ht="14.25" customHeight="1" x14ac:dyDescent="0.3">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s="54" customFormat="1" ht="14.25" customHeight="1" x14ac:dyDescent="0.3">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s="54" customFormat="1" ht="14.25" customHeight="1" x14ac:dyDescent="0.3">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s="54" customFormat="1" ht="14.25" customHeight="1" x14ac:dyDescent="0.3">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s="54" customFormat="1" ht="14.25" customHeight="1" x14ac:dyDescent="0.3">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s="54" customFormat="1" ht="14.25" customHeight="1" x14ac:dyDescent="0.3">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s="54" customFormat="1" ht="14.25" customHeight="1" x14ac:dyDescent="0.3">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s="54" customFormat="1" ht="14.25" customHeight="1" x14ac:dyDescent="0.3">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s="54" customFormat="1" ht="14.25" customHeight="1" x14ac:dyDescent="0.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s="54" customFormat="1" ht="14.25" customHeight="1" x14ac:dyDescent="0.3">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s="54" customFormat="1" ht="14.25" customHeight="1" x14ac:dyDescent="0.3">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s="54" customFormat="1" ht="14.25" customHeight="1" x14ac:dyDescent="0.3">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s="54" customFormat="1" ht="14.25" customHeight="1" x14ac:dyDescent="0.3">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s="54" customFormat="1" ht="14.25" customHeight="1" x14ac:dyDescent="0.3">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s="54" customFormat="1" ht="14.25" customHeight="1" x14ac:dyDescent="0.3">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s="54" customFormat="1" ht="14.25" customHeight="1" x14ac:dyDescent="0.3">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s="54" customFormat="1" ht="14.25" customHeight="1" x14ac:dyDescent="0.3">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s="54" customFormat="1" ht="14.25" customHeight="1" x14ac:dyDescent="0.3">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s="54" customFormat="1" ht="14.25" customHeight="1" x14ac:dyDescent="0.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s="54" customFormat="1" ht="14.25" customHeight="1" x14ac:dyDescent="0.3">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s="54" customFormat="1" ht="14.25" customHeight="1" x14ac:dyDescent="0.3">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s="54" customFormat="1" ht="14.25" customHeight="1" x14ac:dyDescent="0.3">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s="54" customFormat="1" ht="14.25" customHeight="1" x14ac:dyDescent="0.3">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s="54" customFormat="1" ht="14.25" customHeight="1" x14ac:dyDescent="0.3">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s="54" customFormat="1" ht="14.25" customHeight="1" x14ac:dyDescent="0.3">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s="54" customFormat="1" ht="14.25" customHeight="1" x14ac:dyDescent="0.3">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s="54" customFormat="1" ht="14.25" customHeight="1" x14ac:dyDescent="0.3">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s="54" customFormat="1" ht="14.25" customHeight="1" x14ac:dyDescent="0.3">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s="54" customFormat="1" ht="14.25" customHeight="1" x14ac:dyDescent="0.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s="54" customFormat="1" ht="14.25" customHeight="1" x14ac:dyDescent="0.3">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s="54" customFormat="1" ht="14.25" customHeight="1" x14ac:dyDescent="0.3">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s="54" customFormat="1" ht="14.25" customHeight="1" x14ac:dyDescent="0.3">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s="54" customFormat="1" ht="14.25" customHeight="1" x14ac:dyDescent="0.3">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s="54" customFormat="1" ht="14.25" customHeight="1" x14ac:dyDescent="0.3">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s="54" customFormat="1" ht="14.25" customHeight="1" x14ac:dyDescent="0.3">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s="54" customFormat="1" ht="14.25" customHeight="1" x14ac:dyDescent="0.3">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s="54" customFormat="1" ht="14.25" customHeight="1" x14ac:dyDescent="0.3">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s="54" customFormat="1" ht="14.25" customHeight="1" x14ac:dyDescent="0.3">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s="54" customFormat="1" ht="14.25" customHeight="1" x14ac:dyDescent="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s="54" customFormat="1" ht="14.25" customHeight="1" x14ac:dyDescent="0.3">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s="54" customFormat="1" ht="14.25" customHeight="1" x14ac:dyDescent="0.3">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s="54" customFormat="1" ht="14.25" customHeight="1" x14ac:dyDescent="0.3">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s="54" customFormat="1" ht="14.25" customHeight="1" x14ac:dyDescent="0.3">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s="54" customFormat="1" ht="14.25" customHeight="1" x14ac:dyDescent="0.3">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s="54" customFormat="1" ht="14.25" customHeight="1" x14ac:dyDescent="0.3">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s="54" customFormat="1" ht="14.25" customHeight="1" x14ac:dyDescent="0.3">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s="54" customFormat="1" ht="14.25" customHeight="1" x14ac:dyDescent="0.3">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s="54" customFormat="1" ht="14.25" customHeight="1" x14ac:dyDescent="0.3">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s="54" customFormat="1" ht="14.25" customHeight="1" x14ac:dyDescent="0.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s="54" customFormat="1" ht="14.25" customHeight="1" x14ac:dyDescent="0.3">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s="54" customFormat="1" ht="14.25" customHeight="1" x14ac:dyDescent="0.3">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s="54" customFormat="1" ht="14.25" customHeight="1" x14ac:dyDescent="0.3">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s="54" customFormat="1" ht="14.25" customHeight="1" x14ac:dyDescent="0.3">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s="54" customFormat="1" ht="14.25" customHeight="1" x14ac:dyDescent="0.3">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s="54" customFormat="1" ht="14.25" customHeight="1" x14ac:dyDescent="0.3">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s="54" customFormat="1" ht="14.25" customHeight="1" x14ac:dyDescent="0.3">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s="54" customFormat="1" ht="14.25" customHeight="1" x14ac:dyDescent="0.3">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s="54" customFormat="1" ht="14.25" customHeight="1" x14ac:dyDescent="0.3">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s="54" customFormat="1" ht="14.25" customHeight="1" x14ac:dyDescent="0.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s="54" customFormat="1" ht="14.25" customHeight="1" x14ac:dyDescent="0.3">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s="54" customFormat="1" ht="14.25" customHeight="1" x14ac:dyDescent="0.3">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s="54" customFormat="1" ht="14.25" customHeight="1" x14ac:dyDescent="0.3">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s="54" customFormat="1" ht="14.25" customHeight="1" x14ac:dyDescent="0.3">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s="54" customFormat="1" ht="14.25" customHeight="1" x14ac:dyDescent="0.3">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s="54" customFormat="1" ht="14.25" customHeight="1" x14ac:dyDescent="0.3">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s="54" customFormat="1" ht="14.25" customHeight="1" x14ac:dyDescent="0.3">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s="54" customFormat="1" ht="14.25" customHeight="1" x14ac:dyDescent="0.3">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s="54" customFormat="1" ht="14.25" customHeight="1" x14ac:dyDescent="0.3">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s="54" customFormat="1" ht="14.25" customHeight="1" x14ac:dyDescent="0.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s="54" customFormat="1" ht="14.25" customHeight="1" x14ac:dyDescent="0.3">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s="54" customFormat="1" ht="14.25" customHeight="1" x14ac:dyDescent="0.3">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s="54" customFormat="1" ht="14.25" customHeight="1" x14ac:dyDescent="0.3">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s="54" customFormat="1" ht="14.25" customHeight="1" x14ac:dyDescent="0.3">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s="54" customFormat="1" ht="14.25" customHeight="1" x14ac:dyDescent="0.3">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s="54" customFormat="1" ht="14.25" customHeight="1" x14ac:dyDescent="0.3">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s="54" customFormat="1" ht="14.25" customHeight="1" x14ac:dyDescent="0.3">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s="54" customFormat="1" ht="14.25" customHeight="1" x14ac:dyDescent="0.3">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s="54" customFormat="1" ht="14.25" customHeight="1" x14ac:dyDescent="0.3">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s="54" customFormat="1" ht="14.25" customHeight="1" x14ac:dyDescent="0.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s="54" customFormat="1" ht="14.25" customHeight="1" x14ac:dyDescent="0.3">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s="54" customFormat="1" ht="14.25" customHeight="1" x14ac:dyDescent="0.3">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s="54" customFormat="1" ht="14.25" customHeight="1" x14ac:dyDescent="0.3">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s="54" customFormat="1" ht="14.25" customHeight="1" x14ac:dyDescent="0.3">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s="54" customFormat="1" ht="14.25" customHeight="1" x14ac:dyDescent="0.3">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s="54" customFormat="1" ht="14.25" customHeight="1" x14ac:dyDescent="0.3">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s="54" customFormat="1" ht="14.25" customHeight="1" x14ac:dyDescent="0.3">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s="54" customFormat="1" ht="14.25" customHeight="1" x14ac:dyDescent="0.3">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s="54" customFormat="1" ht="14.25" customHeight="1" x14ac:dyDescent="0.3">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s="54" customFormat="1" ht="14.25" customHeight="1" x14ac:dyDescent="0.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s="54" customFormat="1" ht="14.25" customHeight="1" x14ac:dyDescent="0.3">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s="54" customFormat="1" ht="14.25" customHeight="1" x14ac:dyDescent="0.3">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s="54" customFormat="1" ht="14.25" customHeight="1" x14ac:dyDescent="0.3">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s="54" customFormat="1" ht="14.25" customHeight="1" x14ac:dyDescent="0.3">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s="54" customFormat="1" ht="14.25" customHeight="1" x14ac:dyDescent="0.3">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s="54" customFormat="1" ht="14.25" customHeight="1" x14ac:dyDescent="0.3">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s="54" customFormat="1" ht="14.25" customHeight="1" x14ac:dyDescent="0.3">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s="54" customFormat="1" ht="14.25" customHeight="1" x14ac:dyDescent="0.3">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s="54" customFormat="1" ht="14.25" customHeight="1" x14ac:dyDescent="0.3">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s="54" customFormat="1" ht="14.25" customHeight="1" x14ac:dyDescent="0.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s="54" customFormat="1" ht="14.25" customHeight="1" x14ac:dyDescent="0.3">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s="54" customFormat="1" ht="14.25" customHeight="1" x14ac:dyDescent="0.3">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s="54" customFormat="1" ht="14.25" customHeight="1" x14ac:dyDescent="0.3">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s="54" customFormat="1" ht="14.25" customHeight="1" x14ac:dyDescent="0.3">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s="54" customFormat="1" ht="14.25" customHeight="1" x14ac:dyDescent="0.3">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s="54" customFormat="1" ht="14.25" customHeight="1" x14ac:dyDescent="0.3">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s="54" customFormat="1" ht="14.25" customHeight="1" x14ac:dyDescent="0.3">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s="54" customFormat="1" ht="14.25" customHeight="1" x14ac:dyDescent="0.3">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s="54" customFormat="1" ht="14.25" customHeight="1" x14ac:dyDescent="0.3">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s="54" customFormat="1" ht="14.25" customHeight="1" x14ac:dyDescent="0.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s="54" customFormat="1" ht="14.25" customHeight="1" x14ac:dyDescent="0.3">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s="54" customFormat="1" ht="14.25" customHeight="1" x14ac:dyDescent="0.3">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s="54" customFormat="1" ht="14.25" customHeight="1" x14ac:dyDescent="0.3">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s="54" customFormat="1" ht="14.25" customHeight="1" x14ac:dyDescent="0.3">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s="54" customFormat="1" ht="14.25" customHeight="1" x14ac:dyDescent="0.3">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s="54" customFormat="1" ht="14.25" customHeight="1" x14ac:dyDescent="0.3">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s="54" customFormat="1" ht="14.25" customHeight="1" x14ac:dyDescent="0.3">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s="54" customFormat="1" ht="14.25" customHeight="1" x14ac:dyDescent="0.3">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s="54" customFormat="1" ht="14.25" customHeight="1" x14ac:dyDescent="0.3">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s="54" customFormat="1" ht="14.25" customHeight="1" x14ac:dyDescent="0.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s="54" customFormat="1" ht="14.25" customHeight="1" x14ac:dyDescent="0.3">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s="54" customFormat="1" ht="14.25" customHeight="1" x14ac:dyDescent="0.3">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s="54" customFormat="1" ht="14.25" customHeight="1" x14ac:dyDescent="0.3">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s="54" customFormat="1" ht="14.25" customHeight="1" x14ac:dyDescent="0.3">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s="54" customFormat="1" ht="14.25" customHeight="1" x14ac:dyDescent="0.3">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s="54" customFormat="1" ht="14.25" customHeight="1" x14ac:dyDescent="0.3">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s="54" customFormat="1" ht="14.25" customHeight="1" x14ac:dyDescent="0.3">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s="54" customFormat="1" ht="14.25" customHeight="1" x14ac:dyDescent="0.3">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s="54" customFormat="1" ht="14.25" customHeight="1" x14ac:dyDescent="0.3">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s="54" customFormat="1" ht="14.25" customHeight="1" x14ac:dyDescent="0.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s="54" customFormat="1" ht="14.25" customHeight="1" x14ac:dyDescent="0.3">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s="54" customFormat="1" ht="14.25" customHeight="1" x14ac:dyDescent="0.3">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s="54" customFormat="1" ht="14.25" customHeight="1" x14ac:dyDescent="0.3">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s="54" customFormat="1" ht="14.25" customHeight="1" x14ac:dyDescent="0.3">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s="54" customFormat="1" ht="14.25" customHeight="1" x14ac:dyDescent="0.3">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s="54" customFormat="1" ht="14.25" customHeight="1" x14ac:dyDescent="0.3">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s="54" customFormat="1" ht="14.25" customHeight="1" x14ac:dyDescent="0.3">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s="54" customFormat="1" ht="14.25" customHeight="1" x14ac:dyDescent="0.3">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s="54" customFormat="1" ht="14.25" customHeight="1" x14ac:dyDescent="0.3">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s="54" customFormat="1" ht="14.25" customHeight="1" x14ac:dyDescent="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s="54" customFormat="1" ht="14.25" customHeight="1" x14ac:dyDescent="0.3">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s="54" customFormat="1" ht="14.25" customHeight="1" x14ac:dyDescent="0.3">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s="54" customFormat="1" ht="14.25" customHeight="1" x14ac:dyDescent="0.3">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s="54" customFormat="1" ht="14.25" customHeight="1" x14ac:dyDescent="0.3">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s="54" customFormat="1" ht="14.25" customHeight="1" x14ac:dyDescent="0.3">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s="54" customFormat="1" ht="14.25" customHeight="1" x14ac:dyDescent="0.3">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s="54" customFormat="1" ht="14.25" customHeight="1" x14ac:dyDescent="0.3">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s="54" customFormat="1" ht="14.25" customHeight="1" x14ac:dyDescent="0.3">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s="54" customFormat="1" ht="14.25" customHeight="1" x14ac:dyDescent="0.3">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s="54" customFormat="1" ht="14.25" customHeight="1" x14ac:dyDescent="0.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s="54" customFormat="1" ht="14.25" customHeight="1" x14ac:dyDescent="0.3">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s="54" customFormat="1" ht="14.25" customHeight="1" x14ac:dyDescent="0.3">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s="54" customFormat="1" ht="14.25" customHeight="1" x14ac:dyDescent="0.3">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s="54" customFormat="1" ht="14.25" customHeight="1" x14ac:dyDescent="0.3">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s="54" customFormat="1" ht="14.25" customHeight="1" x14ac:dyDescent="0.3">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s="54" customFormat="1" ht="14.25" customHeight="1" x14ac:dyDescent="0.3">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s="54" customFormat="1" ht="14.25" customHeight="1" x14ac:dyDescent="0.3">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s="54" customFormat="1" ht="14.25" customHeight="1" x14ac:dyDescent="0.3">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s="54" customFormat="1" ht="14.25" customHeight="1" x14ac:dyDescent="0.3">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s="54" customFormat="1" ht="14.25" customHeight="1" x14ac:dyDescent="0.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s="54" customFormat="1" ht="14.25" customHeight="1" x14ac:dyDescent="0.3">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s="54" customFormat="1" ht="14.25" customHeight="1" x14ac:dyDescent="0.3">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s="54" customFormat="1" ht="14.25" customHeight="1" x14ac:dyDescent="0.3">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s="54" customFormat="1" ht="14.25" customHeight="1" x14ac:dyDescent="0.3">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s="54" customFormat="1" ht="14.25" customHeight="1" x14ac:dyDescent="0.3">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s="54" customFormat="1" ht="14.25" customHeight="1" x14ac:dyDescent="0.3">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s="54" customFormat="1" ht="14.25" customHeight="1" x14ac:dyDescent="0.3">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s="54" customFormat="1" ht="14.25" customHeight="1" x14ac:dyDescent="0.3">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s="54" customFormat="1" ht="14.25" customHeight="1" x14ac:dyDescent="0.3">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s="54" customFormat="1" ht="14.25" customHeight="1" x14ac:dyDescent="0.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s="54" customFormat="1" ht="14.25" customHeight="1" x14ac:dyDescent="0.3">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s="54" customFormat="1" ht="14.25" customHeight="1" x14ac:dyDescent="0.3">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s="54" customFormat="1" ht="14.25" customHeight="1" x14ac:dyDescent="0.3">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s="54" customFormat="1" ht="14.25" customHeight="1" x14ac:dyDescent="0.3">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s="54" customFormat="1" ht="14.25" customHeight="1" x14ac:dyDescent="0.3">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s="54" customFormat="1" ht="14.25" customHeight="1" x14ac:dyDescent="0.3">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s="54" customFormat="1" ht="14.25" customHeight="1" x14ac:dyDescent="0.3">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s="54" customFormat="1" ht="14.25" customHeight="1" x14ac:dyDescent="0.3">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s="54" customFormat="1" ht="14.25" customHeight="1" x14ac:dyDescent="0.3">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s="54" customFormat="1" ht="14.25" customHeight="1" x14ac:dyDescent="0.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s="54" customFormat="1" ht="14.25" customHeight="1" x14ac:dyDescent="0.3">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s="54" customFormat="1" ht="14.25" customHeight="1" x14ac:dyDescent="0.3">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s="54" customFormat="1" ht="14.25" customHeight="1" x14ac:dyDescent="0.3">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s="54" customFormat="1" ht="14.25" customHeight="1" x14ac:dyDescent="0.3">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s="54" customFormat="1" ht="14.25" customHeight="1" x14ac:dyDescent="0.3">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s="54" customFormat="1" ht="14.25" customHeight="1" x14ac:dyDescent="0.3">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s="54" customFormat="1" ht="14.25" customHeight="1" x14ac:dyDescent="0.3">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s="54" customFormat="1" ht="14.25" customHeight="1" x14ac:dyDescent="0.3">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s="54" customFormat="1" ht="14.25" customHeight="1" x14ac:dyDescent="0.3">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s="54" customFormat="1" ht="14.25" customHeight="1" x14ac:dyDescent="0.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s="54" customFormat="1" ht="14.25" customHeight="1" x14ac:dyDescent="0.3">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s="54" customFormat="1" ht="14.25" customHeight="1" x14ac:dyDescent="0.3">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s="54" customFormat="1" ht="14.25" customHeight="1" x14ac:dyDescent="0.3">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s="54" customFormat="1" ht="14.25" customHeight="1" x14ac:dyDescent="0.3">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s="54" customFormat="1" ht="14.25" customHeight="1" x14ac:dyDescent="0.3">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s="54" customFormat="1" ht="14.25" customHeight="1" x14ac:dyDescent="0.3">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s="54" customFormat="1" ht="14.25" customHeight="1" x14ac:dyDescent="0.3">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s="54" customFormat="1" ht="14.25" customHeight="1" x14ac:dyDescent="0.3">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s="54" customFormat="1" ht="14.25" customHeight="1" x14ac:dyDescent="0.3">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s="54" customFormat="1" ht="14.25" customHeight="1" x14ac:dyDescent="0.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s="54" customFormat="1" ht="14.25" customHeight="1" x14ac:dyDescent="0.3">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s="54" customFormat="1" ht="14.25" customHeight="1" x14ac:dyDescent="0.3">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s="54" customFormat="1" ht="14.25" customHeight="1" x14ac:dyDescent="0.3">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s="54" customFormat="1" ht="14.25" customHeight="1" x14ac:dyDescent="0.3">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s="54" customFormat="1" ht="14.25" customHeight="1" x14ac:dyDescent="0.3">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s="54" customFormat="1" ht="14.25" customHeight="1" x14ac:dyDescent="0.3">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s="54" customFormat="1" ht="14.25" customHeight="1" x14ac:dyDescent="0.3">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s="54" customFormat="1" ht="14.25" customHeight="1" x14ac:dyDescent="0.3">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s="54" customFormat="1" ht="14.25" customHeight="1" x14ac:dyDescent="0.3">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s="54" customFormat="1" ht="14.25" customHeight="1" x14ac:dyDescent="0.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s="54" customFormat="1" ht="14.25" customHeight="1" x14ac:dyDescent="0.3">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s="54" customFormat="1" ht="14.25" customHeight="1" x14ac:dyDescent="0.3">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s="54" customFormat="1" ht="14.25" customHeight="1" x14ac:dyDescent="0.3">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s="54" customFormat="1" ht="14.25" customHeight="1" x14ac:dyDescent="0.3">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s="54" customFormat="1" ht="14.25" customHeight="1" x14ac:dyDescent="0.3">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s="54" customFormat="1" ht="14.25" customHeight="1" x14ac:dyDescent="0.3">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s="54" customFormat="1" ht="14.25" customHeight="1" x14ac:dyDescent="0.3">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s="54" customFormat="1" ht="14.25" customHeight="1" x14ac:dyDescent="0.3">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s="54" customFormat="1" ht="14.25" customHeight="1" x14ac:dyDescent="0.3">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s="54" customFormat="1" ht="14.25" customHeight="1" x14ac:dyDescent="0.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s="54" customFormat="1" ht="14.25" customHeight="1" x14ac:dyDescent="0.3">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s="54" customFormat="1" ht="14.25" customHeight="1" x14ac:dyDescent="0.3">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s="54" customFormat="1" ht="14.25" customHeight="1" x14ac:dyDescent="0.3">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s="54" customFormat="1" ht="14.25" customHeight="1" x14ac:dyDescent="0.3">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s="54" customFormat="1" ht="14.25" customHeight="1" x14ac:dyDescent="0.3">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s="54" customFormat="1" ht="14.25" customHeight="1" x14ac:dyDescent="0.3">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s="54" customFormat="1" ht="14.25" customHeight="1" x14ac:dyDescent="0.3">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s="54" customFormat="1" ht="14.25" customHeight="1" x14ac:dyDescent="0.3">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s="54" customFormat="1" ht="14.25" customHeight="1" x14ac:dyDescent="0.3">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s="54" customFormat="1" ht="14.25" customHeight="1" x14ac:dyDescent="0.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s="54" customFormat="1" ht="14.25" customHeight="1" x14ac:dyDescent="0.3">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s="54" customFormat="1" ht="14.25" customHeight="1" x14ac:dyDescent="0.3">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s="54" customFormat="1" ht="14.25" customHeight="1" x14ac:dyDescent="0.3">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s="54" customFormat="1" ht="14.25" customHeight="1" x14ac:dyDescent="0.3">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s="54" customFormat="1" ht="14.25" customHeight="1" x14ac:dyDescent="0.3">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s="54" customFormat="1" ht="14.25" customHeight="1" x14ac:dyDescent="0.3">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s="54" customFormat="1" ht="14.25" customHeight="1" x14ac:dyDescent="0.3">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s="54" customFormat="1" ht="14.25" customHeight="1" x14ac:dyDescent="0.3">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s="54" customFormat="1" ht="14.25" customHeight="1" x14ac:dyDescent="0.3">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s="54" customFormat="1" ht="14.25" customHeight="1" x14ac:dyDescent="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s="54" customFormat="1" ht="14.25" customHeight="1" x14ac:dyDescent="0.3">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s="54" customFormat="1" ht="14.25" customHeight="1" x14ac:dyDescent="0.3">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s="54" customFormat="1" ht="14.25" customHeight="1" x14ac:dyDescent="0.3">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s="54" customFormat="1" ht="14.25" customHeight="1" x14ac:dyDescent="0.3">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s="54" customFormat="1" ht="14.25" customHeight="1" x14ac:dyDescent="0.3">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s="54" customFormat="1" ht="14.25" customHeight="1" x14ac:dyDescent="0.3">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s="54" customFormat="1" ht="14.25" customHeight="1" x14ac:dyDescent="0.3">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s="54" customFormat="1" ht="14.25" customHeight="1" x14ac:dyDescent="0.3">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s="54" customFormat="1" ht="14.25" customHeight="1" x14ac:dyDescent="0.3">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s="54" customFormat="1" ht="14.25" customHeight="1" x14ac:dyDescent="0.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s="54" customFormat="1" ht="14.25" customHeight="1" x14ac:dyDescent="0.3">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s="54" customFormat="1" ht="14.25" customHeight="1" x14ac:dyDescent="0.3">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s="54" customFormat="1" ht="14.25" customHeight="1" x14ac:dyDescent="0.3">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s="54" customFormat="1" ht="14.25" customHeight="1" x14ac:dyDescent="0.3">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s="54" customFormat="1" ht="14.25" customHeight="1" x14ac:dyDescent="0.3">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s="54" customFormat="1" ht="14.25" customHeight="1" x14ac:dyDescent="0.3">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s="54" customFormat="1" ht="14.25" customHeight="1" x14ac:dyDescent="0.3">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s="54" customFormat="1" ht="14.25" customHeight="1" x14ac:dyDescent="0.3">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s="54" customFormat="1" ht="14.25" customHeight="1" x14ac:dyDescent="0.3">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s="54" customFormat="1" ht="14.25" customHeight="1" x14ac:dyDescent="0.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s="54" customFormat="1" ht="14.25" customHeight="1" x14ac:dyDescent="0.3">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s="54" customFormat="1" ht="14.25" customHeight="1" x14ac:dyDescent="0.3">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s="54" customFormat="1" ht="14.25" customHeight="1" x14ac:dyDescent="0.3">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s="54" customFormat="1" ht="14.25" customHeight="1" x14ac:dyDescent="0.3">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s="54" customFormat="1" ht="14.25" customHeight="1" x14ac:dyDescent="0.3">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s="54" customFormat="1" ht="14.25" customHeight="1" x14ac:dyDescent="0.3">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s="54" customFormat="1" ht="14.25" customHeight="1" x14ac:dyDescent="0.3">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s="54" customFormat="1" ht="14.25" customHeight="1" x14ac:dyDescent="0.3">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s="54" customFormat="1" ht="14.25" customHeight="1" x14ac:dyDescent="0.3">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s="54" customFormat="1" ht="14.25" customHeight="1" x14ac:dyDescent="0.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s="54" customFormat="1" ht="14.25" customHeight="1" x14ac:dyDescent="0.3">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s="54" customFormat="1" ht="14.25" customHeight="1" x14ac:dyDescent="0.3">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s="54" customFormat="1" ht="14.25" customHeight="1" x14ac:dyDescent="0.3">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s="54" customFormat="1" ht="14.25" customHeight="1" x14ac:dyDescent="0.3">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s="54" customFormat="1" ht="14.25" customHeight="1" x14ac:dyDescent="0.3">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s="54" customFormat="1" ht="14.25" customHeight="1" x14ac:dyDescent="0.3">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s="54" customFormat="1" ht="14.25" customHeight="1" x14ac:dyDescent="0.3">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s="54" customFormat="1" ht="14.25" customHeight="1" x14ac:dyDescent="0.3">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s="54" customFormat="1" ht="14.25" customHeight="1" x14ac:dyDescent="0.3">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s="54" customFormat="1" ht="14.25" customHeight="1" x14ac:dyDescent="0.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s="54" customFormat="1" ht="14.25" customHeight="1" x14ac:dyDescent="0.3">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s="54" customFormat="1" ht="14.25" customHeight="1" x14ac:dyDescent="0.3">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s="54" customFormat="1" ht="14.25" customHeight="1" x14ac:dyDescent="0.3">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s="54" customFormat="1" ht="14.25" customHeight="1" x14ac:dyDescent="0.3">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s="54" customFormat="1" ht="14.25" customHeight="1" x14ac:dyDescent="0.3">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s="54" customFormat="1" ht="14.25" customHeight="1" x14ac:dyDescent="0.3">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s="54" customFormat="1" ht="14.25" customHeight="1" x14ac:dyDescent="0.3">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s="54" customFormat="1" ht="14.25" customHeight="1" x14ac:dyDescent="0.3">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s="54" customFormat="1" ht="14.25" customHeight="1" x14ac:dyDescent="0.3">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s="54" customFormat="1" ht="14.25" customHeight="1" x14ac:dyDescent="0.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s="54" customFormat="1" ht="14.25" customHeight="1" x14ac:dyDescent="0.3">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s="54" customFormat="1" ht="14.25" customHeight="1" x14ac:dyDescent="0.3">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s="54" customFormat="1" ht="14.25" customHeight="1" x14ac:dyDescent="0.3">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s="54" customFormat="1" ht="14.25" customHeight="1" x14ac:dyDescent="0.3">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s="54" customFormat="1" ht="14.25" customHeight="1" x14ac:dyDescent="0.3">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s="54" customFormat="1" ht="14.25" customHeight="1" x14ac:dyDescent="0.3">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s="54" customFormat="1" ht="14.25" customHeight="1" x14ac:dyDescent="0.3">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s="54" customFormat="1" ht="14.25" customHeight="1" x14ac:dyDescent="0.3">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s="54" customFormat="1" ht="14.25" customHeight="1" x14ac:dyDescent="0.3">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s="54" customFormat="1" ht="14.25" customHeight="1" x14ac:dyDescent="0.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s="54" customFormat="1" ht="14.25" customHeight="1" x14ac:dyDescent="0.3">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s="54" customFormat="1" ht="14.25" customHeight="1" x14ac:dyDescent="0.3">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s="54" customFormat="1" ht="14.25" customHeight="1" x14ac:dyDescent="0.3">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s="54" customFormat="1" ht="14.25" customHeight="1" x14ac:dyDescent="0.3">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s="54" customFormat="1" ht="14.25" customHeight="1" x14ac:dyDescent="0.3">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s="54" customFormat="1" ht="14.25" customHeight="1" x14ac:dyDescent="0.3">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s="54" customFormat="1" ht="14.25" customHeight="1" x14ac:dyDescent="0.3">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s="54" customFormat="1" ht="14.25" customHeight="1" x14ac:dyDescent="0.3">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s="54" customFormat="1" ht="14.25" customHeight="1" x14ac:dyDescent="0.3">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s="54" customFormat="1" ht="14.25" customHeight="1" x14ac:dyDescent="0.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s="54" customFormat="1" ht="14.25" customHeight="1" x14ac:dyDescent="0.3">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s="54" customFormat="1" ht="14.25" customHeight="1" x14ac:dyDescent="0.3">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s="54" customFormat="1" ht="14.25" customHeight="1" x14ac:dyDescent="0.3">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s="54" customFormat="1" ht="14.25" customHeight="1" x14ac:dyDescent="0.3">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s="54" customFormat="1" ht="14.25" customHeight="1" x14ac:dyDescent="0.3">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s="54" customFormat="1" ht="14.25" customHeight="1" x14ac:dyDescent="0.3">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s="54" customFormat="1" ht="14.25" customHeight="1" x14ac:dyDescent="0.3">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s="54" customFormat="1" ht="14.25" customHeight="1" x14ac:dyDescent="0.3">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s="54" customFormat="1" ht="14.25" customHeight="1" x14ac:dyDescent="0.3">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s="54" customFormat="1" ht="14.25" customHeight="1" x14ac:dyDescent="0.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s="54" customFormat="1" ht="14.25" customHeight="1" x14ac:dyDescent="0.3">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s="54" customFormat="1" ht="14.25" customHeight="1" x14ac:dyDescent="0.3">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s="54" customFormat="1" ht="14.25" customHeight="1" x14ac:dyDescent="0.3">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s="54" customFormat="1" ht="14.25" customHeight="1" x14ac:dyDescent="0.3">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s="54" customFormat="1" ht="14.25" customHeight="1" x14ac:dyDescent="0.3">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s="54" customFormat="1" ht="14.25" customHeight="1" x14ac:dyDescent="0.3">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s="54" customFormat="1" ht="14.25" customHeight="1" x14ac:dyDescent="0.3">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s="54" customFormat="1" ht="14.25" customHeight="1" x14ac:dyDescent="0.3">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s="54" customFormat="1" ht="14.25" customHeight="1" x14ac:dyDescent="0.3">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s="54" customFormat="1" ht="14.25" customHeight="1" x14ac:dyDescent="0.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s="54" customFormat="1" ht="14.25" customHeight="1" x14ac:dyDescent="0.3">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s="54" customFormat="1" ht="14.25" customHeight="1" x14ac:dyDescent="0.3">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s="54" customFormat="1" ht="14.25" customHeight="1" x14ac:dyDescent="0.3">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s="54" customFormat="1" ht="14.25" customHeight="1" x14ac:dyDescent="0.3">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s="54" customFormat="1" ht="14.25" customHeight="1" x14ac:dyDescent="0.3">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s="54" customFormat="1" ht="14.25" customHeight="1" x14ac:dyDescent="0.3">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s="54" customFormat="1" ht="14.25" customHeight="1" x14ac:dyDescent="0.3">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s="54" customFormat="1" ht="14.25" customHeight="1" x14ac:dyDescent="0.3">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s="54" customFormat="1" ht="14.25" customHeight="1" x14ac:dyDescent="0.3">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s="54" customFormat="1" ht="14.25" customHeight="1" x14ac:dyDescent="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s="54" customFormat="1" ht="14.25" customHeight="1" x14ac:dyDescent="0.3">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s="54" customFormat="1" ht="14.25" customHeight="1" x14ac:dyDescent="0.3">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s="54" customFormat="1" ht="14.25" customHeight="1" x14ac:dyDescent="0.3">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s="54" customFormat="1" ht="14.25" customHeight="1" x14ac:dyDescent="0.3">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s="54" customFormat="1" ht="14.25" customHeight="1" x14ac:dyDescent="0.3">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s="54" customFormat="1" ht="14.25" customHeight="1" x14ac:dyDescent="0.3">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s="54" customFormat="1" ht="14.25" customHeight="1" x14ac:dyDescent="0.3">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s="54" customFormat="1" ht="14.25" customHeight="1" x14ac:dyDescent="0.3">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s="54" customFormat="1" ht="14.25" customHeight="1" x14ac:dyDescent="0.3">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s="54" customFormat="1" ht="14.25" customHeight="1" x14ac:dyDescent="0.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s="54" customFormat="1" ht="14.25" customHeight="1" x14ac:dyDescent="0.3">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s="54" customFormat="1" ht="14.25" customHeight="1" x14ac:dyDescent="0.3">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s="54" customFormat="1" ht="14.25" customHeight="1" x14ac:dyDescent="0.3">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s="54" customFormat="1" ht="14.25" customHeight="1" x14ac:dyDescent="0.3">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s="54" customFormat="1" ht="14.25" customHeight="1" x14ac:dyDescent="0.3">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s="54" customFormat="1" ht="14.25" customHeight="1" x14ac:dyDescent="0.3">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s="54" customFormat="1" ht="14.25" customHeight="1" x14ac:dyDescent="0.3">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s="54" customFormat="1" ht="14.25" customHeight="1" x14ac:dyDescent="0.3">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s="54" customFormat="1" ht="14.25" customHeight="1" x14ac:dyDescent="0.3">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s="54" customFormat="1" ht="14.25" customHeight="1" x14ac:dyDescent="0.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s="54" customFormat="1" ht="14.25" customHeight="1" x14ac:dyDescent="0.3">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s="54" customFormat="1" ht="14.25" customHeight="1" x14ac:dyDescent="0.3">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s="54" customFormat="1" ht="14.25" customHeight="1" x14ac:dyDescent="0.3">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s="54" customFormat="1" ht="14.25" customHeight="1" x14ac:dyDescent="0.3">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s="54" customFormat="1" ht="14.25" customHeight="1" x14ac:dyDescent="0.3">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s="54" customFormat="1" ht="14.25" customHeight="1" x14ac:dyDescent="0.3">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s="54" customFormat="1" ht="14.25" customHeight="1" x14ac:dyDescent="0.3">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s="54" customFormat="1" ht="14.25" customHeight="1" x14ac:dyDescent="0.3">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s="54" customFormat="1" ht="14.25" customHeight="1" x14ac:dyDescent="0.3">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s="54" customFormat="1" ht="14.25" customHeight="1" x14ac:dyDescent="0.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s="54" customFormat="1" ht="14.25" customHeight="1" x14ac:dyDescent="0.3">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s="54" customFormat="1" ht="14.25" customHeight="1" x14ac:dyDescent="0.3">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s="54" customFormat="1" ht="14.25" customHeight="1" x14ac:dyDescent="0.3">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s="54" customFormat="1" ht="14.25" customHeight="1" x14ac:dyDescent="0.3">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s="54" customFormat="1" ht="14.25" customHeight="1" x14ac:dyDescent="0.3">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s="54" customFormat="1" ht="14.25" customHeight="1" x14ac:dyDescent="0.3">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s="54" customFormat="1" ht="14.25" customHeight="1" x14ac:dyDescent="0.3">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s="54" customFormat="1" ht="14.25" customHeight="1" x14ac:dyDescent="0.3">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s="54" customFormat="1" ht="14.25" customHeight="1" x14ac:dyDescent="0.3">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s="54" customFormat="1" ht="14.25" customHeight="1" x14ac:dyDescent="0.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s="54" customFormat="1" ht="14.25" customHeight="1" x14ac:dyDescent="0.3">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s="54" customFormat="1" ht="14.25" customHeight="1" x14ac:dyDescent="0.3">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s="54" customFormat="1" ht="14.25" customHeight="1" x14ac:dyDescent="0.3">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s="54" customFormat="1" ht="14.25" customHeight="1" x14ac:dyDescent="0.3">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s="54" customFormat="1" ht="14.25" customHeight="1" x14ac:dyDescent="0.3">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s="54" customFormat="1" ht="14.25" customHeight="1" x14ac:dyDescent="0.3">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s="54" customFormat="1" ht="14.25" customHeight="1" x14ac:dyDescent="0.3">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s="54" customFormat="1" ht="14.25" customHeight="1" x14ac:dyDescent="0.3">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s="54" customFormat="1" ht="14.25" customHeight="1" x14ac:dyDescent="0.3">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s="54" customFormat="1" ht="14.25" customHeight="1" x14ac:dyDescent="0.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s="54" customFormat="1" ht="14.25" customHeight="1" x14ac:dyDescent="0.3">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s="54" customFormat="1" ht="14.25" customHeight="1" x14ac:dyDescent="0.3">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s="54" customFormat="1" ht="14.25" customHeight="1" x14ac:dyDescent="0.3">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s="54" customFormat="1" ht="14.25" customHeight="1" x14ac:dyDescent="0.3">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s="54" customFormat="1" ht="14.25" customHeight="1" x14ac:dyDescent="0.3">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s="54" customFormat="1" ht="14.25" customHeight="1" x14ac:dyDescent="0.3">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s="54" customFormat="1" ht="14.25" customHeight="1" x14ac:dyDescent="0.3">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s="54" customFormat="1" ht="14.25" customHeight="1" x14ac:dyDescent="0.3">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s="54" customFormat="1" ht="14.25" customHeight="1" x14ac:dyDescent="0.3">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s="54" customFormat="1" ht="14.25" customHeight="1" x14ac:dyDescent="0.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s="54" customFormat="1" ht="14.25" customHeight="1" x14ac:dyDescent="0.3">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s="54" customFormat="1" ht="14.25" customHeight="1" x14ac:dyDescent="0.3">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s="54" customFormat="1" ht="14.25" customHeight="1" x14ac:dyDescent="0.3">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s="54" customFormat="1" ht="14.25" customHeight="1" x14ac:dyDescent="0.3">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s="54" customFormat="1" ht="14.25" customHeight="1" x14ac:dyDescent="0.3">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s="54" customFormat="1" ht="14.25" customHeight="1" x14ac:dyDescent="0.3">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s="54" customFormat="1" ht="14.25" customHeight="1" x14ac:dyDescent="0.3">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s="54" customFormat="1" ht="14.25" customHeight="1" x14ac:dyDescent="0.3">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s="54" customFormat="1" ht="14.25" customHeight="1" x14ac:dyDescent="0.3">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s="54" customFormat="1" ht="14.25" customHeight="1" x14ac:dyDescent="0.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s="54" customFormat="1" ht="14.25" customHeight="1" x14ac:dyDescent="0.3">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s="54" customFormat="1" ht="14.25" customHeight="1" x14ac:dyDescent="0.3">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s="54" customFormat="1" ht="14.25" customHeight="1" x14ac:dyDescent="0.3">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s="54" customFormat="1" ht="14.25" customHeight="1" x14ac:dyDescent="0.3">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s="54" customFormat="1" ht="14.25" customHeight="1" x14ac:dyDescent="0.3">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s="54" customFormat="1" ht="14.25" customHeight="1" x14ac:dyDescent="0.3">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s="54" customFormat="1" ht="14.25" customHeight="1" x14ac:dyDescent="0.3">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s="54" customFormat="1" ht="14.25" customHeight="1" x14ac:dyDescent="0.3">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s="54" customFormat="1" ht="14.25" customHeight="1" x14ac:dyDescent="0.3">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s="54" customFormat="1" ht="14.25" customHeight="1" x14ac:dyDescent="0.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s="54" customFormat="1" ht="14.25" customHeight="1" x14ac:dyDescent="0.3">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s="54" customFormat="1" ht="14.25" customHeight="1" x14ac:dyDescent="0.3">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s="54" customFormat="1" ht="14.25" customHeight="1" x14ac:dyDescent="0.3">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s="54" customFormat="1" ht="14.25" customHeight="1" x14ac:dyDescent="0.3">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s="54" customFormat="1" ht="14.25" customHeight="1" x14ac:dyDescent="0.3">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s="54" customFormat="1" ht="14.25" customHeight="1" x14ac:dyDescent="0.3">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s="54" customFormat="1" ht="14.25" customHeight="1" x14ac:dyDescent="0.3">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s="54" customFormat="1" ht="14.25" customHeight="1" x14ac:dyDescent="0.3">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s="54" customFormat="1" ht="14.25" customHeight="1" x14ac:dyDescent="0.3">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s="54" customFormat="1" ht="14.25" customHeight="1" x14ac:dyDescent="0.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s="54" customFormat="1" ht="14.25" customHeight="1" x14ac:dyDescent="0.3">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s="54" customFormat="1" ht="14.25" customHeight="1" x14ac:dyDescent="0.3">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s="54" customFormat="1" ht="14.25" customHeight="1" x14ac:dyDescent="0.3">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s="54" customFormat="1" ht="14.25" customHeight="1" x14ac:dyDescent="0.3">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s="54" customFormat="1" ht="14.25" customHeight="1" x14ac:dyDescent="0.3">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s="54" customFormat="1" ht="14.25" customHeight="1" x14ac:dyDescent="0.3">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s="54" customFormat="1" ht="14.25" customHeight="1" x14ac:dyDescent="0.3">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s="54" customFormat="1" ht="14.25" customHeight="1" x14ac:dyDescent="0.3">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s="54" customFormat="1" ht="14.25" customHeight="1" x14ac:dyDescent="0.3">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s="54" customFormat="1" ht="14.25" customHeight="1" x14ac:dyDescent="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s="54" customFormat="1" ht="14.25" customHeight="1" x14ac:dyDescent="0.3">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s="54" customFormat="1" ht="14.25" customHeight="1" x14ac:dyDescent="0.3">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s="54" customFormat="1" ht="14.25" customHeight="1" x14ac:dyDescent="0.3">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s="54" customFormat="1" ht="14.25" customHeight="1" x14ac:dyDescent="0.3">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s="54" customFormat="1" ht="14.25" customHeight="1" x14ac:dyDescent="0.3">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s="54" customFormat="1" ht="14.25" customHeight="1" x14ac:dyDescent="0.3">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s="54" customFormat="1" ht="14.25" customHeight="1" x14ac:dyDescent="0.3">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s="54" customFormat="1" ht="14.25" customHeight="1" x14ac:dyDescent="0.3">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s="54" customFormat="1" ht="14.25" customHeight="1" x14ac:dyDescent="0.3">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s="54" customFormat="1" ht="14.25" customHeight="1" x14ac:dyDescent="0.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s="54" customFormat="1" ht="14.25" customHeight="1" x14ac:dyDescent="0.3">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s="54" customFormat="1" ht="14.25" customHeight="1" x14ac:dyDescent="0.3">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s="54" customFormat="1" ht="14.25" customHeight="1" x14ac:dyDescent="0.3">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s="54" customFormat="1" ht="14.25" customHeight="1" x14ac:dyDescent="0.3">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s="54" customFormat="1" ht="14.25" customHeight="1" x14ac:dyDescent="0.3">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s="54" customFormat="1" ht="14.25" customHeight="1" x14ac:dyDescent="0.3">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s="54" customFormat="1" ht="14.25" customHeight="1" x14ac:dyDescent="0.3">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s="54" customFormat="1" ht="14.25" customHeight="1" x14ac:dyDescent="0.3">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s="54" customFormat="1" ht="14.25" customHeight="1" x14ac:dyDescent="0.3">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s="54" customFormat="1" ht="14.25" customHeight="1" x14ac:dyDescent="0.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s="54" customFormat="1" ht="14.25" customHeight="1" x14ac:dyDescent="0.3">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s="54" customFormat="1" ht="14.25" customHeight="1" x14ac:dyDescent="0.3">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s="54" customFormat="1" ht="14.25" customHeight="1" x14ac:dyDescent="0.3">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s="54" customFormat="1" ht="14.25" customHeight="1" x14ac:dyDescent="0.3">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s="54" customFormat="1" ht="14.25" customHeight="1" x14ac:dyDescent="0.3">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s="54" customFormat="1" ht="14.25" customHeight="1" x14ac:dyDescent="0.3">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s="54" customFormat="1" ht="14.25" customHeight="1" x14ac:dyDescent="0.3">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s="54" customFormat="1" ht="14.25" customHeight="1" x14ac:dyDescent="0.3">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s="54" customFormat="1" ht="14.25" customHeight="1" x14ac:dyDescent="0.3">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s="54" customFormat="1" ht="14.25" customHeight="1" x14ac:dyDescent="0.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s="54" customFormat="1" ht="14.25" customHeight="1" x14ac:dyDescent="0.3">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s="54" customFormat="1" ht="14.25" customHeight="1" x14ac:dyDescent="0.3">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s="54" customFormat="1" ht="14.25" customHeight="1" x14ac:dyDescent="0.3">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s="54" customFormat="1" ht="14.25" customHeight="1" x14ac:dyDescent="0.3">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s="54" customFormat="1" ht="14.25" customHeight="1" x14ac:dyDescent="0.3">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s="54" customFormat="1" ht="14.25" customHeight="1" x14ac:dyDescent="0.3">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s="54" customFormat="1" ht="14.25" customHeight="1" x14ac:dyDescent="0.3">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s="54" customFormat="1" ht="14.25" customHeight="1" x14ac:dyDescent="0.3">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s="54" customFormat="1" ht="14.25" customHeight="1" x14ac:dyDescent="0.3">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s="54" customFormat="1" ht="14.25" customHeight="1" x14ac:dyDescent="0.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s="54" customFormat="1" ht="14.25" customHeight="1" x14ac:dyDescent="0.3">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s="54" customFormat="1" ht="14.25" customHeight="1" x14ac:dyDescent="0.3">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s="54" customFormat="1" ht="14.25" customHeight="1" x14ac:dyDescent="0.3">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s="54" customFormat="1" ht="14.25" customHeight="1" x14ac:dyDescent="0.3">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s="54" customFormat="1" ht="14.25" customHeight="1" x14ac:dyDescent="0.3">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s="54" customFormat="1" ht="14.25" customHeight="1" x14ac:dyDescent="0.3">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s="54" customFormat="1" ht="14.25" customHeight="1" x14ac:dyDescent="0.3">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s="54" customFormat="1" ht="14.25" customHeight="1" x14ac:dyDescent="0.3">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s="54" customFormat="1" ht="14.25" customHeight="1" x14ac:dyDescent="0.3">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s="54" customFormat="1" ht="14.25" customHeight="1" x14ac:dyDescent="0.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s="54" customFormat="1" ht="14.25" customHeight="1" x14ac:dyDescent="0.3">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s="54" customFormat="1" ht="14.25" customHeight="1" x14ac:dyDescent="0.3">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s="54" customFormat="1" ht="14.25" customHeight="1" x14ac:dyDescent="0.3">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s="54" customFormat="1" ht="14.25" customHeight="1" x14ac:dyDescent="0.3">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s="54" customFormat="1" ht="14.25" customHeight="1" x14ac:dyDescent="0.3">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s="54" customFormat="1" ht="14.25" customHeight="1" x14ac:dyDescent="0.3">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s="54" customFormat="1" ht="14.25" customHeight="1" x14ac:dyDescent="0.3">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s="54" customFormat="1" ht="14.25" customHeight="1" x14ac:dyDescent="0.3">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s="54" customFormat="1" ht="14.25" customHeight="1" x14ac:dyDescent="0.3">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s="54" customFormat="1" ht="14.25" customHeight="1" x14ac:dyDescent="0.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s="54" customFormat="1" ht="14.25" customHeight="1" x14ac:dyDescent="0.3">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s="54" customFormat="1" ht="14.25" customHeight="1" x14ac:dyDescent="0.3">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s="54" customFormat="1" ht="14.25" customHeight="1" x14ac:dyDescent="0.3">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s="54" customFormat="1" ht="14.25" customHeight="1" x14ac:dyDescent="0.3">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s="54" customFormat="1" ht="14.25" customHeight="1" x14ac:dyDescent="0.3">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s="54" customFormat="1" ht="14.25" customHeight="1" x14ac:dyDescent="0.3">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s="54" customFormat="1" ht="14.25" customHeight="1" x14ac:dyDescent="0.3">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s="54" customFormat="1" ht="14.25" customHeight="1" x14ac:dyDescent="0.3">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s="54" customFormat="1" ht="14.25" customHeight="1" x14ac:dyDescent="0.3">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s="54" customFormat="1" ht="14.25" customHeight="1" x14ac:dyDescent="0.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s="54" customFormat="1" ht="14.25" customHeight="1" x14ac:dyDescent="0.3">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s="54" customFormat="1" ht="14.25" customHeight="1" x14ac:dyDescent="0.3">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s="54" customFormat="1" ht="14.25" customHeight="1" x14ac:dyDescent="0.3">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s="54" customFormat="1" ht="14.25" customHeight="1" x14ac:dyDescent="0.3">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s="54" customFormat="1" ht="14.25" customHeight="1" x14ac:dyDescent="0.3">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s="54" customFormat="1" ht="14.25" customHeight="1" x14ac:dyDescent="0.3">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s="54" customFormat="1" ht="14.25" customHeight="1" x14ac:dyDescent="0.3">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s="54" customFormat="1" ht="14.25" customHeight="1" x14ac:dyDescent="0.3">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s="54" customFormat="1" ht="14.25" customHeight="1" x14ac:dyDescent="0.3">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s="54" customFormat="1" ht="14.25" customHeight="1" x14ac:dyDescent="0.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s="54" customFormat="1" ht="14.25" customHeight="1" x14ac:dyDescent="0.3">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s="54" customFormat="1" ht="14.25" customHeight="1" x14ac:dyDescent="0.3">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s="54" customFormat="1" ht="14.25" customHeight="1" x14ac:dyDescent="0.3">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s="54" customFormat="1" ht="14.25" customHeight="1" x14ac:dyDescent="0.3">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s="54" customFormat="1" ht="14.25" customHeight="1" x14ac:dyDescent="0.3">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s="54" customFormat="1" ht="14.25" customHeight="1" x14ac:dyDescent="0.3">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s="54" customFormat="1" ht="14.25" customHeight="1" x14ac:dyDescent="0.3">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s="54" customFormat="1" ht="14.25" customHeight="1" x14ac:dyDescent="0.3">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s="54" customFormat="1" ht="14.25" customHeight="1" x14ac:dyDescent="0.3">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s="54" customFormat="1" ht="14.25" customHeight="1" x14ac:dyDescent="0.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s="54" customFormat="1" ht="14.25" customHeight="1" x14ac:dyDescent="0.3">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s="54" customFormat="1" ht="14.25" customHeight="1" x14ac:dyDescent="0.3">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s="54" customFormat="1" ht="14.25" customHeight="1" x14ac:dyDescent="0.3">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s="54" customFormat="1" ht="14.25" customHeight="1" x14ac:dyDescent="0.3">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s="54" customFormat="1" ht="14.25" customHeight="1" x14ac:dyDescent="0.3">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spans="1:26" s="54" customFormat="1" ht="14.25" customHeight="1" x14ac:dyDescent="0.3">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sheetData>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99"/>
  <sheetViews>
    <sheetView topLeftCell="A4" zoomScale="70" zoomScaleNormal="70" workbookViewId="0">
      <selection activeCell="C44" sqref="C44"/>
    </sheetView>
  </sheetViews>
  <sheetFormatPr defaultColWidth="14.44140625" defaultRowHeight="14.4" x14ac:dyDescent="0.3"/>
  <cols>
    <col min="1" max="1" width="3" style="54" customWidth="1"/>
    <col min="2" max="2" width="22" style="54" customWidth="1"/>
    <col min="3" max="7" width="16" style="54" customWidth="1"/>
    <col min="8" max="26" width="8.6640625" style="54" customWidth="1"/>
  </cols>
  <sheetData>
    <row r="1" spans="1:7" s="54" customFormat="1" ht="11.4" customHeight="1" x14ac:dyDescent="0.3">
      <c r="A1" s="33"/>
      <c r="B1" s="33"/>
      <c r="C1" s="33"/>
      <c r="D1" s="33"/>
      <c r="E1" s="33"/>
      <c r="F1" s="33"/>
      <c r="G1" s="33"/>
    </row>
    <row r="2" spans="1:7" s="54" customFormat="1" ht="11.4" customHeight="1" x14ac:dyDescent="0.3">
      <c r="A2" s="33"/>
      <c r="B2" s="33"/>
      <c r="C2" s="33"/>
      <c r="D2" s="33"/>
      <c r="E2" s="33"/>
      <c r="F2" s="33"/>
      <c r="G2" s="33"/>
    </row>
    <row r="3" spans="1:7" s="54" customFormat="1" ht="12" customHeight="1" x14ac:dyDescent="0.3">
      <c r="A3" s="33"/>
      <c r="B3" s="10" t="s">
        <v>93</v>
      </c>
      <c r="C3" s="33"/>
      <c r="D3" s="33"/>
      <c r="E3" s="33"/>
      <c r="F3" s="33"/>
      <c r="G3" s="33"/>
    </row>
    <row r="4" spans="1:7" s="54" customFormat="1" ht="11.4" customHeight="1" x14ac:dyDescent="0.3">
      <c r="A4" s="33"/>
      <c r="B4" s="33"/>
      <c r="C4" s="33"/>
      <c r="D4" s="33"/>
      <c r="E4" s="33"/>
      <c r="F4" s="33"/>
      <c r="G4" s="33"/>
    </row>
    <row r="5" spans="1:7" s="54" customFormat="1" ht="12" customHeight="1" x14ac:dyDescent="0.3">
      <c r="A5" s="33"/>
      <c r="B5" s="37" t="s">
        <v>94</v>
      </c>
      <c r="C5" s="37" t="s">
        <v>95</v>
      </c>
      <c r="D5" s="37" t="s">
        <v>96</v>
      </c>
      <c r="E5" s="37" t="s">
        <v>97</v>
      </c>
      <c r="F5" s="37" t="s">
        <v>98</v>
      </c>
      <c r="G5" s="37" t="s">
        <v>99</v>
      </c>
    </row>
    <row r="6" spans="1:7" s="54" customFormat="1" ht="12" customHeight="1" x14ac:dyDescent="0.3">
      <c r="A6" s="33"/>
      <c r="B6" s="41" t="s">
        <v>50</v>
      </c>
      <c r="C6" s="29">
        <f>Допущения!C16</f>
        <v>170527000</v>
      </c>
      <c r="D6" s="30">
        <f>C6*(1+Допущения!C17)</f>
        <v>175642810</v>
      </c>
      <c r="E6" s="30">
        <f>D6*(1+Допущения!C17)</f>
        <v>180912094.30000001</v>
      </c>
      <c r="F6" s="30">
        <f>E6*(1+Допущения!C17)</f>
        <v>186339457.12900001</v>
      </c>
      <c r="G6" s="30">
        <f>F6*(1+Допущения!C17)</f>
        <v>191929640.84287003</v>
      </c>
    </row>
    <row r="7" spans="1:7" s="54" customFormat="1" ht="12" customHeight="1" x14ac:dyDescent="0.3">
      <c r="A7" s="33"/>
      <c r="B7" s="41" t="s">
        <v>51</v>
      </c>
      <c r="C7" s="29">
        <f>Допущения!D16</f>
        <v>527270500</v>
      </c>
      <c r="D7" s="30">
        <f>C7*(1+Допущения!D17)</f>
        <v>540452262.5</v>
      </c>
      <c r="E7" s="30">
        <f>D7*(1+Допущения!D17)</f>
        <v>553963569.0625</v>
      </c>
      <c r="F7" s="30">
        <f>E7*(1+Допущения!D17)</f>
        <v>567812658.2890625</v>
      </c>
      <c r="G7" s="30">
        <f>F7*(1+Допущения!D17)</f>
        <v>582007974.74628901</v>
      </c>
    </row>
    <row r="8" spans="1:7" s="54" customFormat="1" ht="12" customHeight="1" x14ac:dyDescent="0.3">
      <c r="A8" s="33"/>
      <c r="B8" s="41" t="s">
        <v>52</v>
      </c>
      <c r="C8" s="29">
        <f>Допущения!E16</f>
        <v>591501580</v>
      </c>
      <c r="D8" s="30">
        <f>C8*(1+Допущения!E17)</f>
        <v>609246627.39999998</v>
      </c>
      <c r="E8" s="30">
        <f>D8*(1+Допущения!E17)</f>
        <v>627524026.222</v>
      </c>
      <c r="F8" s="30">
        <f>E8*(1+Допущения!E17)</f>
        <v>646349747.00866008</v>
      </c>
      <c r="G8" s="30">
        <f>F8*(1+Допущения!E17)</f>
        <v>665740239.41891992</v>
      </c>
    </row>
    <row r="9" spans="1:7" s="54" customFormat="1" ht="12" customHeight="1" x14ac:dyDescent="0.3">
      <c r="A9" s="33"/>
      <c r="B9" s="31" t="s">
        <v>100</v>
      </c>
      <c r="C9" s="32">
        <f>SUM(C6:C8)</f>
        <v>1289299080</v>
      </c>
      <c r="D9" s="32">
        <f>SUM(D6:D8)</f>
        <v>1325341699.9000001</v>
      </c>
      <c r="E9" s="32">
        <f>SUM(E6:E8)</f>
        <v>1362399689.5844998</v>
      </c>
      <c r="F9" s="32">
        <f>SUM(F6:F8)</f>
        <v>1400501862.4267225</v>
      </c>
      <c r="G9" s="32">
        <f>SUM(G6:G8)</f>
        <v>1439677855.0080791</v>
      </c>
    </row>
    <row r="10" spans="1:7" s="54" customFormat="1" ht="11.4" customHeight="1" x14ac:dyDescent="0.3">
      <c r="A10" s="33"/>
      <c r="B10" s="33"/>
      <c r="C10" s="33"/>
      <c r="D10" s="33"/>
      <c r="E10" s="33"/>
      <c r="F10" s="33"/>
      <c r="G10" s="33"/>
    </row>
    <row r="11" spans="1:7" s="54" customFormat="1" ht="11.4" customHeight="1" x14ac:dyDescent="0.3">
      <c r="A11" s="33"/>
      <c r="B11" s="33"/>
      <c r="C11" s="33"/>
      <c r="D11" s="33"/>
      <c r="E11" s="33"/>
      <c r="F11" s="33"/>
      <c r="G11" s="33"/>
    </row>
    <row r="12" spans="1:7" s="54" customFormat="1" ht="12" customHeight="1" x14ac:dyDescent="0.3">
      <c r="A12" s="33"/>
      <c r="B12" s="10" t="s">
        <v>101</v>
      </c>
      <c r="C12" s="33"/>
      <c r="D12" s="33"/>
      <c r="E12" s="33"/>
      <c r="F12" s="33"/>
      <c r="G12" s="33"/>
    </row>
    <row r="13" spans="1:7" s="54" customFormat="1" ht="11.4" customHeight="1" x14ac:dyDescent="0.3">
      <c r="A13" s="33"/>
      <c r="B13" s="33"/>
      <c r="C13" s="33"/>
      <c r="D13" s="33"/>
      <c r="E13" s="33"/>
      <c r="F13" s="33"/>
      <c r="G13" s="33"/>
    </row>
    <row r="14" spans="1:7" s="54" customFormat="1" ht="12" customHeight="1" x14ac:dyDescent="0.3">
      <c r="A14" s="33"/>
      <c r="B14" s="37" t="s">
        <v>94</v>
      </c>
      <c r="C14" s="37" t="s">
        <v>95</v>
      </c>
      <c r="D14" s="37" t="s">
        <v>96</v>
      </c>
      <c r="E14" s="37" t="s">
        <v>97</v>
      </c>
      <c r="F14" s="37" t="s">
        <v>98</v>
      </c>
      <c r="G14" s="37" t="s">
        <v>99</v>
      </c>
    </row>
    <row r="15" spans="1:7" s="54" customFormat="1" ht="12" customHeight="1" x14ac:dyDescent="0.3">
      <c r="A15" s="33"/>
      <c r="B15" s="41" t="s">
        <v>50</v>
      </c>
      <c r="C15" s="29">
        <f>C6*Допущения!$C$25*Допущения!C$43</f>
        <v>2984222.5000000005</v>
      </c>
      <c r="D15" s="29">
        <f>D6*Допущения!$C$25*Допущения!D$43</f>
        <v>4303248.8449999997</v>
      </c>
      <c r="E15" s="29">
        <f>E6*Допущения!$C$25*Допущения!E$43</f>
        <v>5382134.8054250004</v>
      </c>
      <c r="F15" s="29">
        <f>F6*Допущения!$C$25*Допущения!F$43</f>
        <v>6195786.9495392507</v>
      </c>
      <c r="G15" s="29">
        <f>G6*Допущения!$C$25*Допущения!G$43</f>
        <v>6717537.4295004513</v>
      </c>
    </row>
    <row r="16" spans="1:7" s="54" customFormat="1" ht="12" customHeight="1" x14ac:dyDescent="0.3">
      <c r="A16" s="33"/>
      <c r="B16" s="41" t="s">
        <v>51</v>
      </c>
      <c r="C16" s="29">
        <f>C7*Допущения!$D$25*Допущения!C$43</f>
        <v>7909057.5</v>
      </c>
      <c r="D16" s="29">
        <f>D7*Допущения!$D$25*Допущения!D$43</f>
        <v>11349497.512499999</v>
      </c>
      <c r="E16" s="29">
        <f>E7*Допущения!$D$25*Допущения!E$43</f>
        <v>14126071.011093749</v>
      </c>
      <c r="F16" s="29">
        <f>F7*Допущения!$D$25*Допущения!F$43</f>
        <v>16182660.761238281</v>
      </c>
      <c r="G16" s="29">
        <f>G7*Допущения!$D$25*Допущения!G$43</f>
        <v>17460239.242388669</v>
      </c>
    </row>
    <row r="17" spans="1:7" s="54" customFormat="1" ht="12" customHeight="1" x14ac:dyDescent="0.3">
      <c r="A17" s="33"/>
      <c r="B17" s="41" t="s">
        <v>52</v>
      </c>
      <c r="C17" s="29">
        <f>C8*Допущения!$E$25*Допущения!C$43</f>
        <v>10351277.65</v>
      </c>
      <c r="D17" s="29">
        <f>D8*Допущения!$E$25*Допущения!D$43</f>
        <v>14926542.371300001</v>
      </c>
      <c r="E17" s="29">
        <f>E8*Допущения!$E$25*Допущения!E$43</f>
        <v>18668839.780104503</v>
      </c>
      <c r="F17" s="29">
        <f>F8*Допущения!$E$25*Допущения!F$43</f>
        <v>21491129.088037949</v>
      </c>
      <c r="G17" s="29">
        <f>G8*Допущения!$E$25*Допущения!G$43</f>
        <v>23300908.379662201</v>
      </c>
    </row>
    <row r="18" spans="1:7" s="54" customFormat="1" ht="12" customHeight="1" x14ac:dyDescent="0.3">
      <c r="A18" s="33"/>
      <c r="B18" s="31" t="s">
        <v>102</v>
      </c>
      <c r="C18" s="32">
        <f>SUM(C15:C17)</f>
        <v>21244557.649999999</v>
      </c>
      <c r="D18" s="32">
        <f>SUM(D15:D17)</f>
        <v>30579288.728799999</v>
      </c>
      <c r="E18" s="32">
        <f>SUM(E15:E17)</f>
        <v>38177045.596623257</v>
      </c>
      <c r="F18" s="32">
        <f>SUM(F15:F17)</f>
        <v>43869576.798815481</v>
      </c>
      <c r="G18" s="32">
        <f>SUM(G15:G17)</f>
        <v>47478685.05155132</v>
      </c>
    </row>
    <row r="19" spans="1:7" s="54" customFormat="1" ht="11.4" customHeight="1" x14ac:dyDescent="0.3">
      <c r="A19" s="33"/>
      <c r="B19" s="33"/>
      <c r="C19" s="33"/>
      <c r="D19" s="33"/>
      <c r="E19" s="33"/>
      <c r="F19" s="33"/>
      <c r="G19" s="33"/>
    </row>
    <row r="20" spans="1:7" s="54" customFormat="1" ht="11.4" customHeight="1" x14ac:dyDescent="0.3">
      <c r="A20" s="33"/>
      <c r="B20" s="33"/>
      <c r="C20" s="33"/>
      <c r="D20" s="33"/>
      <c r="E20" s="33"/>
      <c r="F20" s="33"/>
      <c r="G20" s="33"/>
    </row>
    <row r="21" spans="1:7" s="54" customFormat="1" ht="12" customHeight="1" x14ac:dyDescent="0.3">
      <c r="A21" s="33"/>
      <c r="B21" s="10" t="s">
        <v>103</v>
      </c>
      <c r="C21" s="33"/>
      <c r="D21" s="33"/>
      <c r="E21" s="33"/>
      <c r="F21" s="33"/>
      <c r="G21" s="33"/>
    </row>
    <row r="22" spans="1:7" s="54" customFormat="1" ht="11.4" customHeight="1" x14ac:dyDescent="0.3">
      <c r="A22" s="33"/>
      <c r="B22" s="33"/>
      <c r="C22" s="33"/>
      <c r="D22" s="33"/>
      <c r="E22" s="33"/>
      <c r="F22" s="33"/>
      <c r="G22" s="33"/>
    </row>
    <row r="23" spans="1:7" s="54" customFormat="1" ht="12" customHeight="1" x14ac:dyDescent="0.3">
      <c r="A23" s="33"/>
      <c r="B23" s="37" t="s">
        <v>94</v>
      </c>
      <c r="C23" s="37" t="s">
        <v>95</v>
      </c>
      <c r="D23" s="37" t="s">
        <v>96</v>
      </c>
      <c r="E23" s="37" t="s">
        <v>97</v>
      </c>
      <c r="F23" s="37" t="s">
        <v>98</v>
      </c>
      <c r="G23" s="37" t="s">
        <v>99</v>
      </c>
    </row>
    <row r="24" spans="1:7" s="54" customFormat="1" ht="12" customHeight="1" x14ac:dyDescent="0.3">
      <c r="A24" s="33"/>
      <c r="B24" s="41" t="s">
        <v>50</v>
      </c>
      <c r="C24" s="30">
        <f t="shared" ref="C24:G26" si="0">C6+C15</f>
        <v>173511222.5</v>
      </c>
      <c r="D24" s="30">
        <f t="shared" si="0"/>
        <v>179946058.845</v>
      </c>
      <c r="E24" s="30">
        <f t="shared" si="0"/>
        <v>186294229.105425</v>
      </c>
      <c r="F24" s="30">
        <f t="shared" si="0"/>
        <v>192535244.07853925</v>
      </c>
      <c r="G24" s="30">
        <f t="shared" si="0"/>
        <v>198647178.27237049</v>
      </c>
    </row>
    <row r="25" spans="1:7" s="54" customFormat="1" ht="12" customHeight="1" x14ac:dyDescent="0.3">
      <c r="A25" s="33"/>
      <c r="B25" s="41" t="s">
        <v>51</v>
      </c>
      <c r="C25" s="30">
        <f t="shared" si="0"/>
        <v>535179557.5</v>
      </c>
      <c r="D25" s="30">
        <f t="shared" si="0"/>
        <v>551801760.01250005</v>
      </c>
      <c r="E25" s="30">
        <f t="shared" si="0"/>
        <v>568089640.07359374</v>
      </c>
      <c r="F25" s="30">
        <f t="shared" si="0"/>
        <v>583995319.05030084</v>
      </c>
      <c r="G25" s="30">
        <f t="shared" si="0"/>
        <v>599468213.98867774</v>
      </c>
    </row>
    <row r="26" spans="1:7" s="54" customFormat="1" ht="12" customHeight="1" x14ac:dyDescent="0.3">
      <c r="A26" s="33"/>
      <c r="B26" s="41" t="s">
        <v>52</v>
      </c>
      <c r="C26" s="30">
        <f t="shared" si="0"/>
        <v>601852857.64999998</v>
      </c>
      <c r="D26" s="30">
        <f t="shared" si="0"/>
        <v>624173169.77129996</v>
      </c>
      <c r="E26" s="30">
        <f t="shared" si="0"/>
        <v>646192866.00210452</v>
      </c>
      <c r="F26" s="30">
        <f t="shared" si="0"/>
        <v>667840876.09669805</v>
      </c>
      <c r="G26" s="30">
        <f t="shared" si="0"/>
        <v>689041147.79858208</v>
      </c>
    </row>
    <row r="27" spans="1:7" s="54" customFormat="1" ht="12" customHeight="1" x14ac:dyDescent="0.3">
      <c r="A27" s="33"/>
      <c r="B27" s="31" t="s">
        <v>104</v>
      </c>
      <c r="C27" s="32">
        <f>SUM(C24:C26)</f>
        <v>1310543637.6500001</v>
      </c>
      <c r="D27" s="32">
        <f>SUM(D24:D26)</f>
        <v>1355920988.6287999</v>
      </c>
      <c r="E27" s="32">
        <f>SUM(E24:E26)</f>
        <v>1400576735.1811233</v>
      </c>
      <c r="F27" s="32">
        <f>SUM(F24:F26)</f>
        <v>1444371439.2255383</v>
      </c>
      <c r="G27" s="32">
        <f>SUM(G24:G26)</f>
        <v>1487156540.0596304</v>
      </c>
    </row>
    <row r="28" spans="1:7" s="54" customFormat="1" ht="11.4" customHeight="1" x14ac:dyDescent="0.3">
      <c r="A28" s="33"/>
      <c r="B28" s="33"/>
      <c r="C28" s="33"/>
      <c r="D28" s="33"/>
      <c r="E28" s="33"/>
      <c r="F28" s="33"/>
      <c r="G28" s="33"/>
    </row>
    <row r="29" spans="1:7" s="54" customFormat="1" ht="11.4" customHeight="1" x14ac:dyDescent="0.3">
      <c r="A29" s="33"/>
      <c r="B29" s="33"/>
      <c r="C29" s="33"/>
      <c r="D29" s="33"/>
      <c r="E29" s="33"/>
      <c r="F29" s="33"/>
      <c r="G29" s="33"/>
    </row>
    <row r="30" spans="1:7" s="54" customFormat="1" ht="11.4" customHeight="1" x14ac:dyDescent="0.3">
      <c r="A30" s="33"/>
      <c r="B30" s="33"/>
      <c r="C30" s="33"/>
      <c r="D30" s="33"/>
      <c r="E30" s="33"/>
      <c r="F30" s="33"/>
      <c r="G30" s="33"/>
    </row>
    <row r="31" spans="1:7" s="54" customFormat="1" ht="11.4" customHeight="1" x14ac:dyDescent="0.3">
      <c r="A31" s="33"/>
      <c r="B31" s="33" t="s">
        <v>91</v>
      </c>
      <c r="C31" s="41" t="s">
        <v>50</v>
      </c>
      <c r="D31" s="41" t="s">
        <v>51</v>
      </c>
      <c r="E31" s="41" t="s">
        <v>52</v>
      </c>
      <c r="F31" s="33"/>
      <c r="G31" s="33"/>
    </row>
    <row r="32" spans="1:7" s="54" customFormat="1" ht="11.4" customHeight="1" x14ac:dyDescent="0.3">
      <c r="A32" s="33"/>
      <c r="B32" s="33">
        <v>2026</v>
      </c>
      <c r="C32" s="59">
        <f>C24</f>
        <v>173511222.5</v>
      </c>
      <c r="D32" s="59">
        <f>C25</f>
        <v>535179557.5</v>
      </c>
      <c r="E32" s="59">
        <f>C26</f>
        <v>601852857.64999998</v>
      </c>
      <c r="F32" s="33"/>
      <c r="G32" s="33"/>
    </row>
    <row r="33" spans="1:7" s="54" customFormat="1" ht="11.4" customHeight="1" x14ac:dyDescent="0.3">
      <c r="A33" s="33"/>
      <c r="B33" s="33">
        <v>2027</v>
      </c>
      <c r="C33" s="59">
        <f>D24</f>
        <v>179946058.845</v>
      </c>
      <c r="D33" s="59">
        <f>D25</f>
        <v>551801760.01250005</v>
      </c>
      <c r="E33" s="59">
        <f>D26</f>
        <v>624173169.77129996</v>
      </c>
      <c r="F33" s="33"/>
      <c r="G33" s="33"/>
    </row>
    <row r="34" spans="1:7" s="54" customFormat="1" ht="11.4" customHeight="1" x14ac:dyDescent="0.3">
      <c r="A34" s="33"/>
      <c r="B34" s="33">
        <v>2028</v>
      </c>
      <c r="C34" s="59">
        <f>E24</f>
        <v>186294229.105425</v>
      </c>
      <c r="D34" s="59">
        <f>E25</f>
        <v>568089640.07359374</v>
      </c>
      <c r="E34" s="59">
        <f>E26</f>
        <v>646192866.00210452</v>
      </c>
      <c r="F34" s="33"/>
      <c r="G34" s="33"/>
    </row>
    <row r="35" spans="1:7" s="54" customFormat="1" ht="11.4" customHeight="1" x14ac:dyDescent="0.3">
      <c r="A35" s="33"/>
      <c r="B35" s="33">
        <v>2029</v>
      </c>
      <c r="C35" s="59">
        <f>F24</f>
        <v>192535244.07853925</v>
      </c>
      <c r="D35" s="59">
        <f>F25</f>
        <v>583995319.05030084</v>
      </c>
      <c r="E35" s="59">
        <f>F26</f>
        <v>667840876.09669805</v>
      </c>
      <c r="F35" s="33"/>
      <c r="G35" s="33"/>
    </row>
    <row r="36" spans="1:7" s="54" customFormat="1" ht="11.4" customHeight="1" x14ac:dyDescent="0.3">
      <c r="A36" s="33"/>
      <c r="B36" s="33">
        <v>2030</v>
      </c>
      <c r="C36" s="59">
        <f>G24</f>
        <v>198647178.27237049</v>
      </c>
      <c r="D36" s="59">
        <f>G25</f>
        <v>599468213.98867774</v>
      </c>
      <c r="E36" s="59">
        <f>G26</f>
        <v>689041147.79858208</v>
      </c>
      <c r="F36" s="33"/>
      <c r="G36" s="33"/>
    </row>
    <row r="37" spans="1:7" s="54" customFormat="1" ht="11.4" customHeight="1" x14ac:dyDescent="0.3">
      <c r="A37" s="33"/>
      <c r="B37" s="33"/>
      <c r="C37" s="33"/>
      <c r="D37" s="33"/>
      <c r="E37" s="33"/>
      <c r="F37" s="33"/>
      <c r="G37" s="33"/>
    </row>
    <row r="38" spans="1:7" s="54" customFormat="1" ht="11.4" customHeight="1" x14ac:dyDescent="0.3">
      <c r="A38" s="33"/>
      <c r="B38" s="33"/>
      <c r="C38" s="33"/>
      <c r="D38" s="33"/>
      <c r="E38" s="33"/>
      <c r="F38" s="33"/>
      <c r="G38" s="33"/>
    </row>
    <row r="39" spans="1:7" s="54" customFormat="1" ht="11.4" customHeight="1" x14ac:dyDescent="0.3">
      <c r="A39" s="33"/>
      <c r="B39" s="33"/>
      <c r="C39" s="33"/>
      <c r="D39" s="33"/>
      <c r="E39" s="33"/>
      <c r="F39" s="33"/>
      <c r="G39" s="33"/>
    </row>
    <row r="40" spans="1:7" s="54" customFormat="1" ht="11.4" customHeight="1" x14ac:dyDescent="0.3">
      <c r="A40" s="33"/>
      <c r="B40" s="33"/>
      <c r="C40" s="33"/>
      <c r="D40" s="33"/>
      <c r="E40" s="33"/>
      <c r="F40" s="33"/>
      <c r="G40" s="33"/>
    </row>
    <row r="41" spans="1:7" s="54" customFormat="1" ht="11.4" customHeight="1" x14ac:dyDescent="0.3">
      <c r="A41" s="33"/>
      <c r="B41" s="33"/>
      <c r="C41" s="33"/>
      <c r="D41" s="33"/>
      <c r="E41" s="33"/>
      <c r="F41" s="33"/>
      <c r="G41" s="33"/>
    </row>
    <row r="42" spans="1:7" s="54" customFormat="1" ht="11.4" customHeight="1" x14ac:dyDescent="0.3">
      <c r="A42" s="33"/>
      <c r="B42" s="33"/>
      <c r="C42" s="33"/>
      <c r="D42" s="33"/>
      <c r="E42" s="33"/>
      <c r="F42" s="33"/>
      <c r="G42" s="33"/>
    </row>
    <row r="43" spans="1:7" s="54" customFormat="1" ht="11.4" customHeight="1" x14ac:dyDescent="0.3">
      <c r="A43" s="33"/>
      <c r="B43" s="33"/>
      <c r="C43" s="33"/>
      <c r="D43" s="33"/>
      <c r="E43" s="33"/>
      <c r="F43" s="33"/>
      <c r="G43" s="33"/>
    </row>
    <row r="44" spans="1:7" s="54" customFormat="1" ht="11.4" customHeight="1" x14ac:dyDescent="0.3">
      <c r="A44" s="33"/>
      <c r="B44" s="33"/>
      <c r="C44" s="33"/>
      <c r="D44" s="33"/>
      <c r="E44" s="33"/>
      <c r="F44" s="33"/>
      <c r="G44" s="33"/>
    </row>
    <row r="45" spans="1:7" s="54" customFormat="1" ht="11.4" customHeight="1" x14ac:dyDescent="0.3">
      <c r="A45" s="33"/>
      <c r="B45" s="33"/>
      <c r="C45" s="33"/>
      <c r="D45" s="33"/>
      <c r="E45" s="33"/>
      <c r="F45" s="33"/>
      <c r="G45" s="33"/>
    </row>
    <row r="46" spans="1:7" s="54" customFormat="1" ht="11.4" customHeight="1" x14ac:dyDescent="0.3">
      <c r="A46" s="33"/>
      <c r="B46" s="33"/>
      <c r="C46" s="33"/>
      <c r="D46" s="33"/>
      <c r="E46" s="33"/>
      <c r="F46" s="33"/>
      <c r="G46" s="33"/>
    </row>
    <row r="47" spans="1:7" s="54" customFormat="1" ht="11.4" customHeight="1" x14ac:dyDescent="0.3">
      <c r="A47" s="33"/>
      <c r="B47" s="33"/>
      <c r="C47" s="33"/>
      <c r="D47" s="33"/>
      <c r="E47" s="33"/>
      <c r="F47" s="33"/>
      <c r="G47" s="33"/>
    </row>
    <row r="48" spans="1:7" s="54" customFormat="1" ht="11.4" customHeight="1" x14ac:dyDescent="0.3">
      <c r="A48" s="33"/>
      <c r="B48" s="33"/>
      <c r="C48" s="33"/>
      <c r="D48" s="33"/>
      <c r="E48" s="33"/>
      <c r="F48" s="33"/>
      <c r="G48" s="33"/>
    </row>
    <row r="49" spans="1:7" s="54" customFormat="1" ht="11.4" customHeight="1" x14ac:dyDescent="0.3">
      <c r="A49" s="33"/>
      <c r="B49" s="33"/>
      <c r="C49" s="33"/>
      <c r="D49" s="33"/>
      <c r="E49" s="33"/>
      <c r="F49" s="33"/>
      <c r="G49" s="33"/>
    </row>
    <row r="50" spans="1:7" s="54" customFormat="1" ht="11.4" customHeight="1" x14ac:dyDescent="0.3">
      <c r="A50" s="33"/>
      <c r="B50" s="33"/>
      <c r="C50" s="33"/>
      <c r="D50" s="33"/>
      <c r="E50" s="33"/>
      <c r="F50" s="33"/>
      <c r="G50" s="33"/>
    </row>
    <row r="51" spans="1:7" s="54" customFormat="1" ht="11.4" customHeight="1" x14ac:dyDescent="0.3">
      <c r="A51" s="33"/>
      <c r="B51" s="33"/>
      <c r="C51" s="33"/>
      <c r="D51" s="33"/>
      <c r="E51" s="33"/>
      <c r="F51" s="33"/>
      <c r="G51" s="33"/>
    </row>
    <row r="52" spans="1:7" s="54" customFormat="1" ht="11.4" customHeight="1" x14ac:dyDescent="0.3">
      <c r="A52" s="33"/>
      <c r="B52" s="33"/>
      <c r="C52" s="33"/>
      <c r="D52" s="33"/>
      <c r="E52" s="33"/>
      <c r="F52" s="33"/>
      <c r="G52" s="33"/>
    </row>
    <row r="53" spans="1:7" s="54" customFormat="1" ht="11.4" customHeight="1" x14ac:dyDescent="0.3">
      <c r="A53" s="33"/>
      <c r="B53" s="33"/>
      <c r="C53" s="33"/>
      <c r="D53" s="33"/>
      <c r="E53" s="33"/>
      <c r="F53" s="33"/>
      <c r="G53" s="33"/>
    </row>
    <row r="54" spans="1:7" s="54" customFormat="1" ht="11.4" customHeight="1" x14ac:dyDescent="0.3">
      <c r="A54" s="33"/>
      <c r="B54" s="33"/>
      <c r="C54" s="33"/>
      <c r="D54" s="33"/>
      <c r="E54" s="33"/>
      <c r="F54" s="33"/>
      <c r="G54" s="33"/>
    </row>
    <row r="55" spans="1:7" s="54" customFormat="1" ht="11.4" customHeight="1" x14ac:dyDescent="0.3">
      <c r="A55" s="33"/>
      <c r="B55" s="33"/>
      <c r="C55" s="33"/>
      <c r="D55" s="33"/>
      <c r="E55" s="33"/>
      <c r="F55" s="33"/>
      <c r="G55" s="33"/>
    </row>
    <row r="56" spans="1:7" s="54" customFormat="1" ht="11.4" customHeight="1" x14ac:dyDescent="0.3">
      <c r="A56" s="33"/>
      <c r="B56" s="33"/>
      <c r="C56" s="33"/>
      <c r="D56" s="33"/>
      <c r="E56" s="33"/>
      <c r="F56" s="33"/>
      <c r="G56" s="33"/>
    </row>
    <row r="57" spans="1:7" s="54" customFormat="1" ht="11.4" customHeight="1" x14ac:dyDescent="0.3">
      <c r="A57" s="33"/>
      <c r="B57" s="33"/>
      <c r="C57" s="33"/>
      <c r="D57" s="33"/>
      <c r="E57" s="33"/>
      <c r="F57" s="33"/>
      <c r="G57" s="33"/>
    </row>
    <row r="58" spans="1:7" s="54" customFormat="1" ht="11.4" customHeight="1" x14ac:dyDescent="0.3">
      <c r="A58" s="33"/>
      <c r="B58" s="33"/>
      <c r="C58" s="33"/>
      <c r="D58" s="33"/>
      <c r="E58" s="33"/>
      <c r="F58" s="33"/>
      <c r="G58" s="33"/>
    </row>
    <row r="59" spans="1:7" s="54" customFormat="1" ht="11.4" customHeight="1" x14ac:dyDescent="0.3">
      <c r="A59" s="33"/>
      <c r="B59" s="33"/>
      <c r="C59" s="33"/>
      <c r="D59" s="33"/>
      <c r="E59" s="33"/>
      <c r="F59" s="33"/>
      <c r="G59" s="33"/>
    </row>
    <row r="60" spans="1:7" s="54" customFormat="1" ht="11.4" customHeight="1" x14ac:dyDescent="0.3">
      <c r="A60" s="33"/>
      <c r="B60" s="33"/>
      <c r="C60" s="33"/>
      <c r="D60" s="33"/>
      <c r="E60" s="33"/>
      <c r="F60" s="33"/>
      <c r="G60" s="33"/>
    </row>
    <row r="61" spans="1:7" s="54" customFormat="1" ht="11.4" customHeight="1" x14ac:dyDescent="0.3">
      <c r="A61" s="33"/>
      <c r="B61" s="33"/>
      <c r="C61" s="33"/>
      <c r="D61" s="33"/>
      <c r="E61" s="33"/>
      <c r="F61" s="33"/>
      <c r="G61" s="33"/>
    </row>
    <row r="62" spans="1:7" s="54" customFormat="1" ht="11.4" customHeight="1" x14ac:dyDescent="0.3">
      <c r="A62" s="33"/>
      <c r="B62" s="33"/>
      <c r="C62" s="33"/>
      <c r="D62" s="33"/>
      <c r="E62" s="33"/>
      <c r="F62" s="33"/>
      <c r="G62" s="33"/>
    </row>
    <row r="63" spans="1:7" s="54" customFormat="1" ht="11.4" customHeight="1" x14ac:dyDescent="0.3">
      <c r="A63" s="33"/>
      <c r="B63" s="33"/>
      <c r="C63" s="33"/>
      <c r="D63" s="33"/>
      <c r="E63" s="33"/>
      <c r="F63" s="33"/>
      <c r="G63" s="33"/>
    </row>
    <row r="64" spans="1:7" s="54" customFormat="1" ht="11.4" customHeight="1" x14ac:dyDescent="0.3">
      <c r="A64" s="33"/>
      <c r="B64" s="33"/>
      <c r="C64" s="33"/>
      <c r="D64" s="33"/>
      <c r="E64" s="33"/>
      <c r="F64" s="33"/>
      <c r="G64" s="33"/>
    </row>
    <row r="65" spans="1:7" s="54" customFormat="1" ht="11.4" customHeight="1" x14ac:dyDescent="0.3">
      <c r="A65" s="33"/>
      <c r="B65" s="33"/>
      <c r="C65" s="33"/>
      <c r="D65" s="33"/>
      <c r="E65" s="33"/>
      <c r="F65" s="33"/>
      <c r="G65" s="33"/>
    </row>
    <row r="66" spans="1:7" s="54" customFormat="1" ht="11.4" customHeight="1" x14ac:dyDescent="0.3">
      <c r="A66" s="33"/>
      <c r="B66" s="33"/>
      <c r="C66" s="33"/>
      <c r="D66" s="33"/>
      <c r="E66" s="33"/>
      <c r="F66" s="33"/>
      <c r="G66" s="33"/>
    </row>
    <row r="67" spans="1:7" s="54" customFormat="1" ht="11.4" customHeight="1" x14ac:dyDescent="0.3">
      <c r="A67" s="33"/>
      <c r="B67" s="33"/>
      <c r="C67" s="33"/>
      <c r="D67" s="33"/>
      <c r="E67" s="33"/>
      <c r="F67" s="33"/>
      <c r="G67" s="33"/>
    </row>
    <row r="68" spans="1:7" s="54" customFormat="1" ht="11.4" customHeight="1" x14ac:dyDescent="0.3">
      <c r="A68" s="33"/>
      <c r="B68" s="33"/>
      <c r="C68" s="33"/>
      <c r="D68" s="33"/>
      <c r="E68" s="33"/>
      <c r="F68" s="33"/>
      <c r="G68" s="33"/>
    </row>
    <row r="69" spans="1:7" s="54" customFormat="1" ht="11.4" customHeight="1" x14ac:dyDescent="0.3">
      <c r="A69" s="33"/>
      <c r="B69" s="33"/>
      <c r="C69" s="33"/>
      <c r="D69" s="33"/>
      <c r="E69" s="33"/>
      <c r="F69" s="33"/>
      <c r="G69" s="33"/>
    </row>
    <row r="70" spans="1:7" s="54" customFormat="1" ht="11.4" customHeight="1" x14ac:dyDescent="0.3">
      <c r="A70" s="33"/>
      <c r="B70" s="33"/>
      <c r="C70" s="33"/>
      <c r="D70" s="33"/>
      <c r="E70" s="33"/>
      <c r="F70" s="33"/>
      <c r="G70" s="33"/>
    </row>
    <row r="71" spans="1:7" s="54" customFormat="1" ht="11.4" customHeight="1" x14ac:dyDescent="0.3">
      <c r="A71" s="33"/>
      <c r="B71" s="33"/>
      <c r="C71" s="33"/>
      <c r="D71" s="33"/>
      <c r="E71" s="33"/>
      <c r="F71" s="33"/>
      <c r="G71" s="33"/>
    </row>
    <row r="72" spans="1:7" s="54" customFormat="1" ht="11.4" customHeight="1" x14ac:dyDescent="0.3">
      <c r="A72" s="33"/>
      <c r="B72" s="33"/>
      <c r="C72" s="33"/>
      <c r="D72" s="33"/>
      <c r="E72" s="33"/>
      <c r="F72" s="33"/>
      <c r="G72" s="33"/>
    </row>
    <row r="73" spans="1:7" s="54" customFormat="1" ht="11.4" customHeight="1" x14ac:dyDescent="0.3">
      <c r="A73" s="33"/>
      <c r="B73" s="33"/>
      <c r="C73" s="33"/>
      <c r="D73" s="33"/>
      <c r="E73" s="33"/>
      <c r="F73" s="33"/>
      <c r="G73" s="33"/>
    </row>
    <row r="74" spans="1:7" s="54" customFormat="1" ht="11.4" customHeight="1" x14ac:dyDescent="0.3">
      <c r="A74" s="33"/>
      <c r="B74" s="33"/>
      <c r="C74" s="33"/>
      <c r="D74" s="33"/>
      <c r="E74" s="33"/>
      <c r="F74" s="33"/>
      <c r="G74" s="33"/>
    </row>
    <row r="75" spans="1:7" s="54" customFormat="1" ht="11.4" customHeight="1" x14ac:dyDescent="0.3">
      <c r="A75" s="33"/>
      <c r="B75" s="33"/>
      <c r="C75" s="33"/>
      <c r="D75" s="33"/>
      <c r="E75" s="33"/>
      <c r="F75" s="33"/>
      <c r="G75" s="33"/>
    </row>
    <row r="76" spans="1:7" s="54" customFormat="1" ht="11.4" customHeight="1" x14ac:dyDescent="0.3">
      <c r="A76" s="33"/>
      <c r="B76" s="33"/>
      <c r="C76" s="33"/>
      <c r="D76" s="33"/>
      <c r="E76" s="33"/>
      <c r="F76" s="33"/>
      <c r="G76" s="33"/>
    </row>
    <row r="77" spans="1:7" s="54" customFormat="1" ht="11.4" customHeight="1" x14ac:dyDescent="0.3">
      <c r="A77" s="33"/>
      <c r="B77" s="33"/>
      <c r="C77" s="33"/>
      <c r="D77" s="33"/>
      <c r="E77" s="33"/>
      <c r="F77" s="33"/>
      <c r="G77" s="33"/>
    </row>
    <row r="78" spans="1:7" s="54" customFormat="1" ht="11.4" customHeight="1" x14ac:dyDescent="0.3">
      <c r="A78" s="33"/>
      <c r="B78" s="33"/>
      <c r="C78" s="33"/>
      <c r="D78" s="33"/>
      <c r="E78" s="33"/>
      <c r="F78" s="33"/>
      <c r="G78" s="33"/>
    </row>
    <row r="79" spans="1:7" s="54" customFormat="1" ht="11.4" customHeight="1" x14ac:dyDescent="0.3">
      <c r="A79" s="33"/>
      <c r="B79" s="33"/>
      <c r="C79" s="33"/>
      <c r="D79" s="33"/>
      <c r="E79" s="33"/>
      <c r="F79" s="33"/>
      <c r="G79" s="33"/>
    </row>
    <row r="80" spans="1:7" s="54" customFormat="1" ht="11.4" customHeight="1" x14ac:dyDescent="0.3">
      <c r="A80" s="33"/>
      <c r="B80" s="33"/>
      <c r="C80" s="33"/>
      <c r="D80" s="33"/>
      <c r="E80" s="33"/>
      <c r="F80" s="33"/>
      <c r="G80" s="33"/>
    </row>
    <row r="81" spans="1:7" s="54" customFormat="1" ht="11.4" customHeight="1" x14ac:dyDescent="0.3">
      <c r="A81" s="33"/>
      <c r="B81" s="33"/>
      <c r="C81" s="33"/>
      <c r="D81" s="33"/>
      <c r="E81" s="33"/>
      <c r="F81" s="33"/>
      <c r="G81" s="33"/>
    </row>
    <row r="82" spans="1:7" s="54" customFormat="1" ht="11.4" customHeight="1" x14ac:dyDescent="0.3">
      <c r="A82" s="33"/>
      <c r="B82" s="33"/>
      <c r="C82" s="33"/>
      <c r="D82" s="33"/>
      <c r="E82" s="33"/>
      <c r="F82" s="33"/>
      <c r="G82" s="33"/>
    </row>
    <row r="83" spans="1:7" s="54" customFormat="1" ht="11.4" customHeight="1" x14ac:dyDescent="0.3">
      <c r="A83" s="33"/>
      <c r="B83" s="33"/>
      <c r="C83" s="33"/>
      <c r="D83" s="33"/>
      <c r="E83" s="33"/>
      <c r="F83" s="33"/>
      <c r="G83" s="33"/>
    </row>
    <row r="84" spans="1:7" s="54" customFormat="1" ht="11.4" customHeight="1" x14ac:dyDescent="0.3">
      <c r="A84" s="33"/>
      <c r="B84" s="33"/>
      <c r="C84" s="33"/>
      <c r="D84" s="33"/>
      <c r="E84" s="33"/>
      <c r="F84" s="33"/>
      <c r="G84" s="33"/>
    </row>
    <row r="85" spans="1:7" s="54" customFormat="1" ht="11.4" customHeight="1" x14ac:dyDescent="0.3">
      <c r="A85" s="33"/>
      <c r="B85" s="33"/>
      <c r="C85" s="33"/>
      <c r="D85" s="33"/>
      <c r="E85" s="33"/>
      <c r="F85" s="33"/>
      <c r="G85" s="33"/>
    </row>
    <row r="86" spans="1:7" s="54" customFormat="1" ht="11.4" customHeight="1" x14ac:dyDescent="0.3">
      <c r="A86" s="33"/>
      <c r="B86" s="33"/>
      <c r="C86" s="33"/>
      <c r="D86" s="33"/>
      <c r="E86" s="33"/>
      <c r="F86" s="33"/>
      <c r="G86" s="33"/>
    </row>
    <row r="87" spans="1:7" s="54" customFormat="1" ht="11.4" customHeight="1" x14ac:dyDescent="0.3">
      <c r="A87" s="33"/>
      <c r="B87" s="33"/>
      <c r="C87" s="33"/>
      <c r="D87" s="33"/>
      <c r="E87" s="33"/>
      <c r="F87" s="33"/>
      <c r="G87" s="33"/>
    </row>
    <row r="88" spans="1:7" s="54" customFormat="1" ht="11.4" customHeight="1" x14ac:dyDescent="0.3">
      <c r="A88" s="33"/>
      <c r="B88" s="33"/>
      <c r="C88" s="33"/>
      <c r="D88" s="33"/>
      <c r="E88" s="33"/>
      <c r="F88" s="33"/>
      <c r="G88" s="33"/>
    </row>
    <row r="89" spans="1:7" s="54" customFormat="1" ht="11.4" customHeight="1" x14ac:dyDescent="0.3">
      <c r="A89" s="33"/>
      <c r="B89" s="33"/>
      <c r="C89" s="33"/>
      <c r="D89" s="33"/>
      <c r="E89" s="33"/>
      <c r="F89" s="33"/>
      <c r="G89" s="33"/>
    </row>
    <row r="90" spans="1:7" s="54" customFormat="1" ht="11.4" customHeight="1" x14ac:dyDescent="0.3">
      <c r="A90" s="33"/>
      <c r="B90" s="33"/>
      <c r="C90" s="33"/>
      <c r="D90" s="33"/>
      <c r="E90" s="33"/>
      <c r="F90" s="33"/>
      <c r="G90" s="33"/>
    </row>
    <row r="91" spans="1:7" s="54" customFormat="1" ht="11.4" customHeight="1" x14ac:dyDescent="0.3">
      <c r="A91" s="33"/>
      <c r="B91" s="33"/>
      <c r="C91" s="33"/>
      <c r="D91" s="33"/>
      <c r="E91" s="33"/>
      <c r="F91" s="33"/>
      <c r="G91" s="33"/>
    </row>
    <row r="92" spans="1:7" s="54" customFormat="1" ht="11.4" customHeight="1" x14ac:dyDescent="0.3">
      <c r="A92" s="33"/>
      <c r="B92" s="33"/>
      <c r="C92" s="33"/>
      <c r="D92" s="33"/>
      <c r="E92" s="33"/>
      <c r="F92" s="33"/>
      <c r="G92" s="33"/>
    </row>
    <row r="93" spans="1:7" s="54" customFormat="1" ht="11.4" customHeight="1" x14ac:dyDescent="0.3">
      <c r="A93" s="33"/>
      <c r="B93" s="33"/>
      <c r="C93" s="33"/>
      <c r="D93" s="33"/>
      <c r="E93" s="33"/>
      <c r="F93" s="33"/>
      <c r="G93" s="33"/>
    </row>
    <row r="94" spans="1:7" s="54" customFormat="1" ht="11.4" customHeight="1" x14ac:dyDescent="0.3">
      <c r="A94" s="33"/>
      <c r="B94" s="33"/>
      <c r="C94" s="33"/>
      <c r="D94" s="33"/>
      <c r="E94" s="33"/>
      <c r="F94" s="33"/>
      <c r="G94" s="33"/>
    </row>
    <row r="95" spans="1:7" s="54" customFormat="1" ht="11.4" customHeight="1" x14ac:dyDescent="0.3">
      <c r="A95" s="33"/>
      <c r="B95" s="33"/>
      <c r="C95" s="33"/>
      <c r="D95" s="33"/>
      <c r="E95" s="33"/>
      <c r="F95" s="33"/>
      <c r="G95" s="33"/>
    </row>
    <row r="96" spans="1:7" s="54" customFormat="1" ht="11.4" customHeight="1" x14ac:dyDescent="0.3">
      <c r="A96" s="33"/>
      <c r="B96" s="33"/>
      <c r="C96" s="33"/>
      <c r="D96" s="33"/>
      <c r="E96" s="33"/>
      <c r="F96" s="33"/>
      <c r="G96" s="33"/>
    </row>
    <row r="97" spans="1:7" s="54" customFormat="1" ht="11.4" customHeight="1" x14ac:dyDescent="0.3">
      <c r="A97" s="33"/>
      <c r="B97" s="33"/>
      <c r="C97" s="33"/>
      <c r="D97" s="33"/>
      <c r="E97" s="33"/>
      <c r="F97" s="33"/>
      <c r="G97" s="33"/>
    </row>
    <row r="98" spans="1:7" s="54" customFormat="1" ht="11.4" customHeight="1" x14ac:dyDescent="0.3">
      <c r="A98" s="33"/>
      <c r="B98" s="33"/>
      <c r="C98" s="33"/>
      <c r="D98" s="33"/>
      <c r="E98" s="33"/>
      <c r="F98" s="33"/>
      <c r="G98" s="33"/>
    </row>
    <row r="99" spans="1:7" s="54" customFormat="1" ht="11.4" customHeight="1" x14ac:dyDescent="0.3">
      <c r="A99" s="33"/>
      <c r="B99" s="33"/>
      <c r="C99" s="33"/>
      <c r="D99" s="33"/>
      <c r="E99" s="33"/>
      <c r="F99" s="33"/>
      <c r="G99" s="33"/>
    </row>
    <row r="100" spans="1:7" s="54" customFormat="1" ht="11.4" customHeight="1" x14ac:dyDescent="0.3">
      <c r="A100" s="33"/>
      <c r="B100" s="33"/>
      <c r="C100" s="33"/>
      <c r="D100" s="33"/>
      <c r="E100" s="33"/>
      <c r="F100" s="33"/>
      <c r="G100" s="33"/>
    </row>
    <row r="101" spans="1:7" s="54" customFormat="1" ht="11.4" customHeight="1" x14ac:dyDescent="0.3">
      <c r="A101" s="33"/>
      <c r="B101" s="33"/>
      <c r="C101" s="33"/>
      <c r="D101" s="33"/>
      <c r="E101" s="33"/>
      <c r="F101" s="33"/>
      <c r="G101" s="33"/>
    </row>
    <row r="102" spans="1:7" s="54" customFormat="1" ht="11.4" customHeight="1" x14ac:dyDescent="0.3">
      <c r="A102" s="33"/>
      <c r="B102" s="33"/>
      <c r="C102" s="33"/>
      <c r="D102" s="33"/>
      <c r="E102" s="33"/>
      <c r="F102" s="33"/>
      <c r="G102" s="33"/>
    </row>
    <row r="103" spans="1:7" s="54" customFormat="1" ht="11.4" customHeight="1" x14ac:dyDescent="0.3">
      <c r="A103" s="33"/>
      <c r="B103" s="33"/>
      <c r="C103" s="33"/>
      <c r="D103" s="33"/>
      <c r="E103" s="33"/>
      <c r="F103" s="33"/>
      <c r="G103" s="33"/>
    </row>
    <row r="104" spans="1:7" s="54" customFormat="1" ht="11.4" customHeight="1" x14ac:dyDescent="0.3">
      <c r="A104" s="33"/>
      <c r="B104" s="33"/>
      <c r="C104" s="33"/>
      <c r="D104" s="33"/>
      <c r="E104" s="33"/>
      <c r="F104" s="33"/>
      <c r="G104" s="33"/>
    </row>
    <row r="105" spans="1:7" s="54" customFormat="1" ht="11.4" customHeight="1" x14ac:dyDescent="0.3">
      <c r="A105" s="33"/>
      <c r="B105" s="33"/>
      <c r="C105" s="33"/>
      <c r="D105" s="33"/>
      <c r="E105" s="33"/>
      <c r="F105" s="33"/>
      <c r="G105" s="33"/>
    </row>
    <row r="106" spans="1:7" s="54" customFormat="1" ht="11.4" customHeight="1" x14ac:dyDescent="0.3">
      <c r="A106" s="33"/>
      <c r="B106" s="33"/>
      <c r="C106" s="33"/>
      <c r="D106" s="33"/>
      <c r="E106" s="33"/>
      <c r="F106" s="33"/>
      <c r="G106" s="33"/>
    </row>
    <row r="107" spans="1:7" s="54" customFormat="1" ht="11.4" customHeight="1" x14ac:dyDescent="0.3">
      <c r="A107" s="33"/>
      <c r="B107" s="33"/>
      <c r="C107" s="33"/>
      <c r="D107" s="33"/>
      <c r="E107" s="33"/>
      <c r="F107" s="33"/>
      <c r="G107" s="33"/>
    </row>
    <row r="108" spans="1:7" s="54" customFormat="1" ht="11.4" customHeight="1" x14ac:dyDescent="0.3">
      <c r="A108" s="33"/>
      <c r="B108" s="33"/>
      <c r="C108" s="33"/>
      <c r="D108" s="33"/>
      <c r="E108" s="33"/>
      <c r="F108" s="33"/>
      <c r="G108" s="33"/>
    </row>
    <row r="109" spans="1:7" s="54" customFormat="1" ht="11.4" customHeight="1" x14ac:dyDescent="0.3">
      <c r="A109" s="33"/>
      <c r="B109" s="33"/>
      <c r="C109" s="33"/>
      <c r="D109" s="33"/>
      <c r="E109" s="33"/>
      <c r="F109" s="33"/>
      <c r="G109" s="33"/>
    </row>
    <row r="110" spans="1:7" s="54" customFormat="1" ht="11.4" customHeight="1" x14ac:dyDescent="0.3">
      <c r="A110" s="33"/>
      <c r="B110" s="33"/>
      <c r="C110" s="33"/>
      <c r="D110" s="33"/>
      <c r="E110" s="33"/>
      <c r="F110" s="33"/>
      <c r="G110" s="33"/>
    </row>
    <row r="111" spans="1:7" s="54" customFormat="1" ht="11.4" customHeight="1" x14ac:dyDescent="0.3">
      <c r="A111" s="33"/>
      <c r="B111" s="33"/>
      <c r="C111" s="33"/>
      <c r="D111" s="33"/>
      <c r="E111" s="33"/>
      <c r="F111" s="33"/>
      <c r="G111" s="33"/>
    </row>
    <row r="112" spans="1:7" s="54" customFormat="1" ht="11.4" customHeight="1" x14ac:dyDescent="0.3">
      <c r="A112" s="33"/>
      <c r="B112" s="33"/>
      <c r="C112" s="33"/>
      <c r="D112" s="33"/>
      <c r="E112" s="33"/>
      <c r="F112" s="33"/>
      <c r="G112" s="33"/>
    </row>
    <row r="113" spans="1:7" s="54" customFormat="1" ht="11.4" customHeight="1" x14ac:dyDescent="0.3">
      <c r="A113" s="33"/>
      <c r="B113" s="33"/>
      <c r="C113" s="33"/>
      <c r="D113" s="33"/>
      <c r="E113" s="33"/>
      <c r="F113" s="33"/>
      <c r="G113" s="33"/>
    </row>
    <row r="114" spans="1:7" s="54" customFormat="1" ht="11.4" customHeight="1" x14ac:dyDescent="0.3">
      <c r="A114" s="33"/>
      <c r="B114" s="33"/>
      <c r="C114" s="33"/>
      <c r="D114" s="33"/>
      <c r="E114" s="33"/>
      <c r="F114" s="33"/>
      <c r="G114" s="33"/>
    </row>
    <row r="115" spans="1:7" s="54" customFormat="1" ht="11.4" customHeight="1" x14ac:dyDescent="0.3">
      <c r="A115" s="33"/>
      <c r="B115" s="33"/>
      <c r="C115" s="33"/>
      <c r="D115" s="33"/>
      <c r="E115" s="33"/>
      <c r="F115" s="33"/>
      <c r="G115" s="33"/>
    </row>
    <row r="116" spans="1:7" s="54" customFormat="1" ht="11.4" customHeight="1" x14ac:dyDescent="0.3">
      <c r="A116" s="33"/>
      <c r="B116" s="33"/>
      <c r="C116" s="33"/>
      <c r="D116" s="33"/>
      <c r="E116" s="33"/>
      <c r="F116" s="33"/>
      <c r="G116" s="33"/>
    </row>
    <row r="117" spans="1:7" s="54" customFormat="1" ht="11.4" customHeight="1" x14ac:dyDescent="0.3">
      <c r="A117" s="33"/>
      <c r="B117" s="33"/>
      <c r="C117" s="33"/>
      <c r="D117" s="33"/>
      <c r="E117" s="33"/>
      <c r="F117" s="33"/>
      <c r="G117" s="33"/>
    </row>
    <row r="118" spans="1:7" s="54" customFormat="1" ht="11.4" customHeight="1" x14ac:dyDescent="0.3">
      <c r="A118" s="33"/>
      <c r="B118" s="33"/>
      <c r="C118" s="33"/>
      <c r="D118" s="33"/>
      <c r="E118" s="33"/>
      <c r="F118" s="33"/>
      <c r="G118" s="33"/>
    </row>
    <row r="119" spans="1:7" s="54" customFormat="1" ht="11.4" customHeight="1" x14ac:dyDescent="0.3">
      <c r="A119" s="33"/>
      <c r="B119" s="33"/>
      <c r="C119" s="33"/>
      <c r="D119" s="33"/>
      <c r="E119" s="33"/>
      <c r="F119" s="33"/>
      <c r="G119" s="33"/>
    </row>
    <row r="120" spans="1:7" s="54" customFormat="1" ht="11.4" customHeight="1" x14ac:dyDescent="0.3">
      <c r="A120" s="33"/>
      <c r="B120" s="33"/>
      <c r="C120" s="33"/>
      <c r="D120" s="33"/>
      <c r="E120" s="33"/>
      <c r="F120" s="33"/>
      <c r="G120" s="33"/>
    </row>
    <row r="121" spans="1:7" s="54" customFormat="1" ht="11.4" customHeight="1" x14ac:dyDescent="0.3">
      <c r="A121" s="33"/>
      <c r="B121" s="33"/>
      <c r="C121" s="33"/>
      <c r="D121" s="33"/>
      <c r="E121" s="33"/>
      <c r="F121" s="33"/>
      <c r="G121" s="33"/>
    </row>
    <row r="122" spans="1:7" s="54" customFormat="1" ht="11.4" customHeight="1" x14ac:dyDescent="0.3">
      <c r="A122" s="33"/>
      <c r="B122" s="33"/>
      <c r="C122" s="33"/>
      <c r="D122" s="33"/>
      <c r="E122" s="33"/>
      <c r="F122" s="33"/>
      <c r="G122" s="33"/>
    </row>
    <row r="123" spans="1:7" s="54" customFormat="1" ht="11.4" customHeight="1" x14ac:dyDescent="0.3">
      <c r="A123" s="33"/>
      <c r="B123" s="33"/>
      <c r="C123" s="33"/>
      <c r="D123" s="33"/>
      <c r="E123" s="33"/>
      <c r="F123" s="33"/>
      <c r="G123" s="33"/>
    </row>
    <row r="124" spans="1:7" s="54" customFormat="1" ht="11.4" customHeight="1" x14ac:dyDescent="0.3">
      <c r="A124" s="33"/>
      <c r="B124" s="33"/>
      <c r="C124" s="33"/>
      <c r="D124" s="33"/>
      <c r="E124" s="33"/>
      <c r="F124" s="33"/>
      <c r="G124" s="33"/>
    </row>
    <row r="125" spans="1:7" s="54" customFormat="1" ht="11.4" customHeight="1" x14ac:dyDescent="0.3">
      <c r="A125" s="33"/>
      <c r="B125" s="33"/>
      <c r="C125" s="33"/>
      <c r="D125" s="33"/>
      <c r="E125" s="33"/>
      <c r="F125" s="33"/>
      <c r="G125" s="33"/>
    </row>
    <row r="126" spans="1:7" s="54" customFormat="1" ht="11.4" customHeight="1" x14ac:dyDescent="0.3">
      <c r="A126" s="33"/>
      <c r="B126" s="33"/>
      <c r="C126" s="33"/>
      <c r="D126" s="33"/>
      <c r="E126" s="33"/>
      <c r="F126" s="33"/>
      <c r="G126" s="33"/>
    </row>
    <row r="127" spans="1:7" s="54" customFormat="1" ht="11.4" customHeight="1" x14ac:dyDescent="0.3">
      <c r="A127" s="33"/>
      <c r="B127" s="33"/>
      <c r="C127" s="33"/>
      <c r="D127" s="33"/>
      <c r="E127" s="33"/>
      <c r="F127" s="33"/>
      <c r="G127" s="33"/>
    </row>
    <row r="128" spans="1:7" s="54" customFormat="1" ht="11.4" customHeight="1" x14ac:dyDescent="0.3">
      <c r="A128" s="33"/>
      <c r="B128" s="33"/>
      <c r="C128" s="33"/>
      <c r="D128" s="33"/>
      <c r="E128" s="33"/>
      <c r="F128" s="33"/>
      <c r="G128" s="33"/>
    </row>
    <row r="129" spans="1:7" s="54" customFormat="1" ht="11.4" customHeight="1" x14ac:dyDescent="0.3">
      <c r="A129" s="33"/>
      <c r="B129" s="33"/>
      <c r="C129" s="33"/>
      <c r="D129" s="33"/>
      <c r="E129" s="33"/>
      <c r="F129" s="33"/>
      <c r="G129" s="33"/>
    </row>
    <row r="130" spans="1:7" s="54" customFormat="1" ht="11.4" customHeight="1" x14ac:dyDescent="0.3">
      <c r="A130" s="33"/>
      <c r="B130" s="33"/>
      <c r="C130" s="33"/>
      <c r="D130" s="33"/>
      <c r="E130" s="33"/>
      <c r="F130" s="33"/>
      <c r="G130" s="33"/>
    </row>
    <row r="131" spans="1:7" s="54" customFormat="1" ht="11.4" customHeight="1" x14ac:dyDescent="0.3">
      <c r="A131" s="33"/>
      <c r="B131" s="33"/>
      <c r="C131" s="33"/>
      <c r="D131" s="33"/>
      <c r="E131" s="33"/>
      <c r="F131" s="33"/>
      <c r="G131" s="33"/>
    </row>
    <row r="132" spans="1:7" s="54" customFormat="1" ht="11.4" customHeight="1" x14ac:dyDescent="0.3">
      <c r="A132" s="33"/>
      <c r="B132" s="33"/>
      <c r="C132" s="33"/>
      <c r="D132" s="33"/>
      <c r="E132" s="33"/>
      <c r="F132" s="33"/>
      <c r="G132" s="33"/>
    </row>
    <row r="133" spans="1:7" s="54" customFormat="1" ht="11.4" customHeight="1" x14ac:dyDescent="0.3">
      <c r="A133" s="33"/>
      <c r="B133" s="33"/>
      <c r="C133" s="33"/>
      <c r="D133" s="33"/>
      <c r="E133" s="33"/>
      <c r="F133" s="33"/>
      <c r="G133" s="33"/>
    </row>
    <row r="134" spans="1:7" s="54" customFormat="1" ht="11.4" customHeight="1" x14ac:dyDescent="0.3">
      <c r="A134" s="33"/>
      <c r="B134" s="33"/>
      <c r="C134" s="33"/>
      <c r="D134" s="33"/>
      <c r="E134" s="33"/>
      <c r="F134" s="33"/>
      <c r="G134" s="33"/>
    </row>
    <row r="135" spans="1:7" s="54" customFormat="1" ht="11.4" customHeight="1" x14ac:dyDescent="0.3">
      <c r="A135" s="33"/>
      <c r="B135" s="33"/>
      <c r="C135" s="33"/>
      <c r="D135" s="33"/>
      <c r="E135" s="33"/>
      <c r="F135" s="33"/>
      <c r="G135" s="33"/>
    </row>
    <row r="136" spans="1:7" s="54" customFormat="1" ht="11.4" customHeight="1" x14ac:dyDescent="0.3">
      <c r="A136" s="33"/>
      <c r="B136" s="33"/>
      <c r="C136" s="33"/>
      <c r="D136" s="33"/>
      <c r="E136" s="33"/>
      <c r="F136" s="33"/>
      <c r="G136" s="33"/>
    </row>
    <row r="137" spans="1:7" s="54" customFormat="1" ht="11.4" customHeight="1" x14ac:dyDescent="0.3">
      <c r="A137" s="33"/>
      <c r="B137" s="33"/>
      <c r="C137" s="33"/>
      <c r="D137" s="33"/>
      <c r="E137" s="33"/>
      <c r="F137" s="33"/>
      <c r="G137" s="33"/>
    </row>
    <row r="138" spans="1:7" s="54" customFormat="1" ht="11.4" customHeight="1" x14ac:dyDescent="0.3">
      <c r="A138" s="33"/>
      <c r="B138" s="33"/>
      <c r="C138" s="33"/>
      <c r="D138" s="33"/>
      <c r="E138" s="33"/>
      <c r="F138" s="33"/>
      <c r="G138" s="33"/>
    </row>
    <row r="139" spans="1:7" s="54" customFormat="1" ht="11.4" customHeight="1" x14ac:dyDescent="0.3">
      <c r="A139" s="33"/>
      <c r="B139" s="33"/>
      <c r="C139" s="33"/>
      <c r="D139" s="33"/>
      <c r="E139" s="33"/>
      <c r="F139" s="33"/>
      <c r="G139" s="33"/>
    </row>
    <row r="140" spans="1:7" s="54" customFormat="1" ht="11.4" customHeight="1" x14ac:dyDescent="0.3">
      <c r="A140" s="33"/>
      <c r="B140" s="33"/>
      <c r="C140" s="33"/>
      <c r="D140" s="33"/>
      <c r="E140" s="33"/>
      <c r="F140" s="33"/>
      <c r="G140" s="33"/>
    </row>
    <row r="141" spans="1:7" s="54" customFormat="1" ht="11.4" customHeight="1" x14ac:dyDescent="0.3">
      <c r="A141" s="33"/>
      <c r="B141" s="33"/>
      <c r="C141" s="33"/>
      <c r="D141" s="33"/>
      <c r="E141" s="33"/>
      <c r="F141" s="33"/>
      <c r="G141" s="33"/>
    </row>
    <row r="142" spans="1:7" s="54" customFormat="1" ht="11.4" customHeight="1" x14ac:dyDescent="0.3">
      <c r="A142" s="33"/>
      <c r="B142" s="33"/>
      <c r="C142" s="33"/>
      <c r="D142" s="33"/>
      <c r="E142" s="33"/>
      <c r="F142" s="33"/>
      <c r="G142" s="33"/>
    </row>
    <row r="143" spans="1:7" s="54" customFormat="1" ht="11.4" customHeight="1" x14ac:dyDescent="0.3">
      <c r="A143" s="33"/>
      <c r="B143" s="33"/>
      <c r="C143" s="33"/>
      <c r="D143" s="33"/>
      <c r="E143" s="33"/>
      <c r="F143" s="33"/>
      <c r="G143" s="33"/>
    </row>
    <row r="144" spans="1:7" s="54" customFormat="1" ht="11.4" customHeight="1" x14ac:dyDescent="0.3">
      <c r="A144" s="33"/>
      <c r="B144" s="33"/>
      <c r="C144" s="33"/>
      <c r="D144" s="33"/>
      <c r="E144" s="33"/>
      <c r="F144" s="33"/>
      <c r="G144" s="33"/>
    </row>
    <row r="145" spans="1:7" s="54" customFormat="1" ht="11.4" customHeight="1" x14ac:dyDescent="0.3">
      <c r="A145" s="33"/>
      <c r="B145" s="33"/>
      <c r="C145" s="33"/>
      <c r="D145" s="33"/>
      <c r="E145" s="33"/>
      <c r="F145" s="33"/>
      <c r="G145" s="33"/>
    </row>
    <row r="146" spans="1:7" s="54" customFormat="1" ht="11.4" customHeight="1" x14ac:dyDescent="0.3">
      <c r="A146" s="33"/>
      <c r="B146" s="33"/>
      <c r="C146" s="33"/>
      <c r="D146" s="33"/>
      <c r="E146" s="33"/>
      <c r="F146" s="33"/>
      <c r="G146" s="33"/>
    </row>
    <row r="147" spans="1:7" s="54" customFormat="1" ht="11.4" customHeight="1" x14ac:dyDescent="0.3">
      <c r="A147" s="33"/>
      <c r="B147" s="33"/>
      <c r="C147" s="33"/>
      <c r="D147" s="33"/>
      <c r="E147" s="33"/>
      <c r="F147" s="33"/>
      <c r="G147" s="33"/>
    </row>
    <row r="148" spans="1:7" s="54" customFormat="1" ht="11.4" customHeight="1" x14ac:dyDescent="0.3">
      <c r="A148" s="33"/>
      <c r="B148" s="33"/>
      <c r="C148" s="33"/>
      <c r="D148" s="33"/>
      <c r="E148" s="33"/>
      <c r="F148" s="33"/>
      <c r="G148" s="33"/>
    </row>
    <row r="149" spans="1:7" s="54" customFormat="1" ht="11.4" customHeight="1" x14ac:dyDescent="0.3">
      <c r="A149" s="33"/>
      <c r="B149" s="33"/>
      <c r="C149" s="33"/>
      <c r="D149" s="33"/>
      <c r="E149" s="33"/>
      <c r="F149" s="33"/>
      <c r="G149" s="33"/>
    </row>
    <row r="150" spans="1:7" s="54" customFormat="1" ht="11.4" customHeight="1" x14ac:dyDescent="0.3">
      <c r="A150" s="33"/>
      <c r="B150" s="33"/>
      <c r="C150" s="33"/>
      <c r="D150" s="33"/>
      <c r="E150" s="33"/>
      <c r="F150" s="33"/>
      <c r="G150" s="33"/>
    </row>
    <row r="151" spans="1:7" s="54" customFormat="1" ht="11.4" customHeight="1" x14ac:dyDescent="0.3">
      <c r="A151" s="33"/>
      <c r="B151" s="33"/>
      <c r="C151" s="33"/>
      <c r="D151" s="33"/>
      <c r="E151" s="33"/>
      <c r="F151" s="33"/>
      <c r="G151" s="33"/>
    </row>
    <row r="152" spans="1:7" s="54" customFormat="1" ht="11.4" customHeight="1" x14ac:dyDescent="0.3">
      <c r="A152" s="33"/>
      <c r="B152" s="33"/>
      <c r="C152" s="33"/>
      <c r="D152" s="33"/>
      <c r="E152" s="33"/>
      <c r="F152" s="33"/>
      <c r="G152" s="33"/>
    </row>
    <row r="153" spans="1:7" s="54" customFormat="1" ht="11.4" customHeight="1" x14ac:dyDescent="0.3">
      <c r="A153" s="33"/>
      <c r="B153" s="33"/>
      <c r="C153" s="33"/>
      <c r="D153" s="33"/>
      <c r="E153" s="33"/>
      <c r="F153" s="33"/>
      <c r="G153" s="33"/>
    </row>
    <row r="154" spans="1:7" s="54" customFormat="1" ht="11.4" customHeight="1" x14ac:dyDescent="0.3">
      <c r="A154" s="33"/>
      <c r="B154" s="33"/>
      <c r="C154" s="33"/>
      <c r="D154" s="33"/>
      <c r="E154" s="33"/>
      <c r="F154" s="33"/>
      <c r="G154" s="33"/>
    </row>
    <row r="155" spans="1:7" s="54" customFormat="1" ht="11.4" customHeight="1" x14ac:dyDescent="0.3">
      <c r="A155" s="33"/>
      <c r="B155" s="33"/>
      <c r="C155" s="33"/>
      <c r="D155" s="33"/>
      <c r="E155" s="33"/>
      <c r="F155" s="33"/>
      <c r="G155" s="33"/>
    </row>
    <row r="156" spans="1:7" s="54" customFormat="1" ht="11.4" customHeight="1" x14ac:dyDescent="0.3">
      <c r="A156" s="33"/>
      <c r="B156" s="33"/>
      <c r="C156" s="33"/>
      <c r="D156" s="33"/>
      <c r="E156" s="33"/>
      <c r="F156" s="33"/>
      <c r="G156" s="33"/>
    </row>
    <row r="157" spans="1:7" s="54" customFormat="1" ht="11.4" customHeight="1" x14ac:dyDescent="0.3">
      <c r="A157" s="33"/>
      <c r="B157" s="33"/>
      <c r="C157" s="33"/>
      <c r="D157" s="33"/>
      <c r="E157" s="33"/>
      <c r="F157" s="33"/>
      <c r="G157" s="33"/>
    </row>
    <row r="158" spans="1:7" s="54" customFormat="1" ht="11.4" customHeight="1" x14ac:dyDescent="0.3">
      <c r="A158" s="33"/>
      <c r="B158" s="33"/>
      <c r="C158" s="33"/>
      <c r="D158" s="33"/>
      <c r="E158" s="33"/>
      <c r="F158" s="33"/>
      <c r="G158" s="33"/>
    </row>
    <row r="159" spans="1:7" s="54" customFormat="1" ht="11.4" customHeight="1" x14ac:dyDescent="0.3">
      <c r="A159" s="33"/>
      <c r="B159" s="33"/>
      <c r="C159" s="33"/>
      <c r="D159" s="33"/>
      <c r="E159" s="33"/>
      <c r="F159" s="33"/>
      <c r="G159" s="33"/>
    </row>
    <row r="160" spans="1:7" s="54" customFormat="1" ht="11.4" customHeight="1" x14ac:dyDescent="0.3">
      <c r="A160" s="33"/>
      <c r="B160" s="33"/>
      <c r="C160" s="33"/>
      <c r="D160" s="33"/>
      <c r="E160" s="33"/>
      <c r="F160" s="33"/>
      <c r="G160" s="33"/>
    </row>
    <row r="161" spans="1:7" s="54" customFormat="1" ht="11.4" customHeight="1" x14ac:dyDescent="0.3">
      <c r="A161" s="33"/>
      <c r="B161" s="33"/>
      <c r="C161" s="33"/>
      <c r="D161" s="33"/>
      <c r="E161" s="33"/>
      <c r="F161" s="33"/>
      <c r="G161" s="33"/>
    </row>
    <row r="162" spans="1:7" s="54" customFormat="1" ht="11.4" customHeight="1" x14ac:dyDescent="0.3">
      <c r="A162" s="33"/>
      <c r="B162" s="33"/>
      <c r="C162" s="33"/>
      <c r="D162" s="33"/>
      <c r="E162" s="33"/>
      <c r="F162" s="33"/>
      <c r="G162" s="33"/>
    </row>
    <row r="163" spans="1:7" s="54" customFormat="1" ht="11.4" customHeight="1" x14ac:dyDescent="0.3">
      <c r="A163" s="33"/>
      <c r="B163" s="33"/>
      <c r="C163" s="33"/>
      <c r="D163" s="33"/>
      <c r="E163" s="33"/>
      <c r="F163" s="33"/>
      <c r="G163" s="33"/>
    </row>
    <row r="164" spans="1:7" s="54" customFormat="1" ht="11.4" customHeight="1" x14ac:dyDescent="0.3">
      <c r="A164" s="33"/>
      <c r="B164" s="33"/>
      <c r="C164" s="33"/>
      <c r="D164" s="33"/>
      <c r="E164" s="33"/>
      <c r="F164" s="33"/>
      <c r="G164" s="33"/>
    </row>
    <row r="165" spans="1:7" s="54" customFormat="1" ht="11.4" customHeight="1" x14ac:dyDescent="0.3">
      <c r="A165" s="33"/>
      <c r="B165" s="33"/>
      <c r="C165" s="33"/>
      <c r="D165" s="33"/>
      <c r="E165" s="33"/>
      <c r="F165" s="33"/>
      <c r="G165" s="33"/>
    </row>
    <row r="166" spans="1:7" s="54" customFormat="1" ht="11.4" customHeight="1" x14ac:dyDescent="0.3">
      <c r="A166" s="33"/>
      <c r="B166" s="33"/>
      <c r="C166" s="33"/>
      <c r="D166" s="33"/>
      <c r="E166" s="33"/>
      <c r="F166" s="33"/>
      <c r="G166" s="33"/>
    </row>
    <row r="167" spans="1:7" s="54" customFormat="1" ht="11.4" customHeight="1" x14ac:dyDescent="0.3">
      <c r="A167" s="33"/>
      <c r="B167" s="33"/>
      <c r="C167" s="33"/>
      <c r="D167" s="33"/>
      <c r="E167" s="33"/>
      <c r="F167" s="33"/>
      <c r="G167" s="33"/>
    </row>
    <row r="168" spans="1:7" s="54" customFormat="1" ht="11.4" customHeight="1" x14ac:dyDescent="0.3">
      <c r="A168" s="33"/>
      <c r="B168" s="33"/>
      <c r="C168" s="33"/>
      <c r="D168" s="33"/>
      <c r="E168" s="33"/>
      <c r="F168" s="33"/>
      <c r="G168" s="33"/>
    </row>
    <row r="169" spans="1:7" s="54" customFormat="1" ht="11.4" customHeight="1" x14ac:dyDescent="0.3">
      <c r="A169" s="33"/>
      <c r="B169" s="33"/>
      <c r="C169" s="33"/>
      <c r="D169" s="33"/>
      <c r="E169" s="33"/>
      <c r="F169" s="33"/>
      <c r="G169" s="33"/>
    </row>
    <row r="170" spans="1:7" s="54" customFormat="1" ht="11.4" customHeight="1" x14ac:dyDescent="0.3">
      <c r="A170" s="33"/>
      <c r="B170" s="33"/>
      <c r="C170" s="33"/>
      <c r="D170" s="33"/>
      <c r="E170" s="33"/>
      <c r="F170" s="33"/>
      <c r="G170" s="33"/>
    </row>
    <row r="171" spans="1:7" s="54" customFormat="1" ht="11.4" customHeight="1" x14ac:dyDescent="0.3">
      <c r="A171" s="33"/>
      <c r="B171" s="33"/>
      <c r="C171" s="33"/>
      <c r="D171" s="33"/>
      <c r="E171" s="33"/>
      <c r="F171" s="33"/>
      <c r="G171" s="33"/>
    </row>
    <row r="172" spans="1:7" s="54" customFormat="1" ht="11.4" customHeight="1" x14ac:dyDescent="0.3">
      <c r="A172" s="33"/>
      <c r="B172" s="33"/>
      <c r="C172" s="33"/>
      <c r="D172" s="33"/>
      <c r="E172" s="33"/>
      <c r="F172" s="33"/>
      <c r="G172" s="33"/>
    </row>
    <row r="173" spans="1:7" s="54" customFormat="1" ht="11.4" customHeight="1" x14ac:dyDescent="0.3">
      <c r="A173" s="33"/>
      <c r="B173" s="33"/>
      <c r="C173" s="33"/>
      <c r="D173" s="33"/>
      <c r="E173" s="33"/>
      <c r="F173" s="33"/>
      <c r="G173" s="33"/>
    </row>
    <row r="174" spans="1:7" s="54" customFormat="1" ht="11.4" customHeight="1" x14ac:dyDescent="0.3">
      <c r="A174" s="33"/>
      <c r="B174" s="33"/>
      <c r="C174" s="33"/>
      <c r="D174" s="33"/>
      <c r="E174" s="33"/>
      <c r="F174" s="33"/>
      <c r="G174" s="33"/>
    </row>
    <row r="175" spans="1:7" s="54" customFormat="1" ht="11.4" customHeight="1" x14ac:dyDescent="0.3">
      <c r="A175" s="33"/>
      <c r="B175" s="33"/>
      <c r="C175" s="33"/>
      <c r="D175" s="33"/>
      <c r="E175" s="33"/>
      <c r="F175" s="33"/>
      <c r="G175" s="33"/>
    </row>
    <row r="176" spans="1:7" s="54" customFormat="1" ht="11.4" customHeight="1" x14ac:dyDescent="0.3">
      <c r="A176" s="33"/>
      <c r="B176" s="33"/>
      <c r="C176" s="33"/>
      <c r="D176" s="33"/>
      <c r="E176" s="33"/>
      <c r="F176" s="33"/>
      <c r="G176" s="33"/>
    </row>
    <row r="177" spans="1:7" s="54" customFormat="1" ht="11.4" customHeight="1" x14ac:dyDescent="0.3">
      <c r="A177" s="33"/>
      <c r="B177" s="33"/>
      <c r="C177" s="33"/>
      <c r="D177" s="33"/>
      <c r="E177" s="33"/>
      <c r="F177" s="33"/>
      <c r="G177" s="33"/>
    </row>
    <row r="178" spans="1:7" s="54" customFormat="1" ht="11.4" customHeight="1" x14ac:dyDescent="0.3">
      <c r="A178" s="33"/>
      <c r="B178" s="33"/>
      <c r="C178" s="33"/>
      <c r="D178" s="33"/>
      <c r="E178" s="33"/>
      <c r="F178" s="33"/>
      <c r="G178" s="33"/>
    </row>
    <row r="179" spans="1:7" s="54" customFormat="1" ht="11.4" customHeight="1" x14ac:dyDescent="0.3">
      <c r="A179" s="33"/>
      <c r="B179" s="33"/>
      <c r="C179" s="33"/>
      <c r="D179" s="33"/>
      <c r="E179" s="33"/>
      <c r="F179" s="33"/>
      <c r="G179" s="33"/>
    </row>
    <row r="180" spans="1:7" s="54" customFormat="1" ht="11.4" customHeight="1" x14ac:dyDescent="0.3">
      <c r="A180" s="33"/>
      <c r="B180" s="33"/>
      <c r="C180" s="33"/>
      <c r="D180" s="33"/>
      <c r="E180" s="33"/>
      <c r="F180" s="33"/>
      <c r="G180" s="33"/>
    </row>
    <row r="181" spans="1:7" s="54" customFormat="1" ht="11.4" customHeight="1" x14ac:dyDescent="0.3">
      <c r="A181" s="33"/>
      <c r="B181" s="33"/>
      <c r="C181" s="33"/>
      <c r="D181" s="33"/>
      <c r="E181" s="33"/>
      <c r="F181" s="33"/>
      <c r="G181" s="33"/>
    </row>
    <row r="182" spans="1:7" s="54" customFormat="1" ht="11.4" customHeight="1" x14ac:dyDescent="0.3">
      <c r="A182" s="33"/>
      <c r="B182" s="33"/>
      <c r="C182" s="33"/>
      <c r="D182" s="33"/>
      <c r="E182" s="33"/>
      <c r="F182" s="33"/>
      <c r="G182" s="33"/>
    </row>
    <row r="183" spans="1:7" s="54" customFormat="1" ht="11.4" customHeight="1" x14ac:dyDescent="0.3">
      <c r="A183" s="33"/>
      <c r="B183" s="33"/>
      <c r="C183" s="33"/>
      <c r="D183" s="33"/>
      <c r="E183" s="33"/>
      <c r="F183" s="33"/>
      <c r="G183" s="33"/>
    </row>
    <row r="184" spans="1:7" s="54" customFormat="1" ht="11.4" customHeight="1" x14ac:dyDescent="0.3">
      <c r="A184" s="33"/>
      <c r="B184" s="33"/>
      <c r="C184" s="33"/>
      <c r="D184" s="33"/>
      <c r="E184" s="33"/>
      <c r="F184" s="33"/>
      <c r="G184" s="33"/>
    </row>
    <row r="185" spans="1:7" s="54" customFormat="1" ht="11.4" customHeight="1" x14ac:dyDescent="0.3">
      <c r="A185" s="33"/>
      <c r="B185" s="33"/>
      <c r="C185" s="33"/>
      <c r="D185" s="33"/>
      <c r="E185" s="33"/>
      <c r="F185" s="33"/>
      <c r="G185" s="33"/>
    </row>
    <row r="186" spans="1:7" s="54" customFormat="1" ht="11.4" customHeight="1" x14ac:dyDescent="0.3">
      <c r="A186" s="33"/>
      <c r="B186" s="33"/>
      <c r="C186" s="33"/>
      <c r="D186" s="33"/>
      <c r="E186" s="33"/>
      <c r="F186" s="33"/>
      <c r="G186" s="33"/>
    </row>
    <row r="187" spans="1:7" s="54" customFormat="1" ht="11.4" customHeight="1" x14ac:dyDescent="0.3">
      <c r="A187" s="33"/>
      <c r="B187" s="33"/>
      <c r="C187" s="33"/>
      <c r="D187" s="33"/>
      <c r="E187" s="33"/>
      <c r="F187" s="33"/>
      <c r="G187" s="33"/>
    </row>
    <row r="188" spans="1:7" s="54" customFormat="1" ht="11.4" customHeight="1" x14ac:dyDescent="0.3">
      <c r="A188" s="33"/>
      <c r="B188" s="33"/>
      <c r="C188" s="33"/>
      <c r="D188" s="33"/>
      <c r="E188" s="33"/>
      <c r="F188" s="33"/>
      <c r="G188" s="33"/>
    </row>
    <row r="189" spans="1:7" s="54" customFormat="1" ht="11.4" customHeight="1" x14ac:dyDescent="0.3">
      <c r="A189" s="33"/>
      <c r="B189" s="33"/>
      <c r="C189" s="33"/>
      <c r="D189" s="33"/>
      <c r="E189" s="33"/>
      <c r="F189" s="33"/>
      <c r="G189" s="33"/>
    </row>
    <row r="190" spans="1:7" s="54" customFormat="1" ht="11.4" customHeight="1" x14ac:dyDescent="0.3">
      <c r="A190" s="33"/>
      <c r="B190" s="33"/>
      <c r="C190" s="33"/>
      <c r="D190" s="33"/>
      <c r="E190" s="33"/>
      <c r="F190" s="33"/>
      <c r="G190" s="33"/>
    </row>
    <row r="191" spans="1:7" s="54" customFormat="1" ht="11.4" customHeight="1" x14ac:dyDescent="0.3">
      <c r="A191" s="33"/>
      <c r="B191" s="33"/>
      <c r="C191" s="33"/>
      <c r="D191" s="33"/>
      <c r="E191" s="33"/>
      <c r="F191" s="33"/>
      <c r="G191" s="33"/>
    </row>
    <row r="192" spans="1:7" s="54" customFormat="1" ht="11.4" customHeight="1" x14ac:dyDescent="0.3">
      <c r="A192" s="33"/>
      <c r="B192" s="33"/>
      <c r="C192" s="33"/>
      <c r="D192" s="33"/>
      <c r="E192" s="33"/>
      <c r="F192" s="33"/>
      <c r="G192" s="33"/>
    </row>
    <row r="193" spans="1:7" s="54" customFormat="1" ht="11.4" customHeight="1" x14ac:dyDescent="0.3">
      <c r="A193" s="33"/>
      <c r="B193" s="33"/>
      <c r="C193" s="33"/>
      <c r="D193" s="33"/>
      <c r="E193" s="33"/>
      <c r="F193" s="33"/>
      <c r="G193" s="33"/>
    </row>
    <row r="194" spans="1:7" s="54" customFormat="1" ht="11.4" customHeight="1" x14ac:dyDescent="0.3">
      <c r="A194" s="33"/>
      <c r="B194" s="33"/>
      <c r="C194" s="33"/>
      <c r="D194" s="33"/>
      <c r="E194" s="33"/>
      <c r="F194" s="33"/>
      <c r="G194" s="33"/>
    </row>
    <row r="195" spans="1:7" s="54" customFormat="1" ht="11.4" customHeight="1" x14ac:dyDescent="0.3">
      <c r="A195" s="33"/>
      <c r="B195" s="33"/>
      <c r="C195" s="33"/>
      <c r="D195" s="33"/>
      <c r="E195" s="33"/>
      <c r="F195" s="33"/>
      <c r="G195" s="33"/>
    </row>
    <row r="196" spans="1:7" s="54" customFormat="1" ht="11.4" customHeight="1" x14ac:dyDescent="0.3">
      <c r="A196" s="33"/>
      <c r="B196" s="33"/>
      <c r="C196" s="33"/>
      <c r="D196" s="33"/>
      <c r="E196" s="33"/>
      <c r="F196" s="33"/>
      <c r="G196" s="33"/>
    </row>
    <row r="197" spans="1:7" s="54" customFormat="1" ht="11.4" customHeight="1" x14ac:dyDescent="0.3">
      <c r="A197" s="33"/>
      <c r="B197" s="33"/>
      <c r="C197" s="33"/>
      <c r="D197" s="33"/>
      <c r="E197" s="33"/>
      <c r="F197" s="33"/>
      <c r="G197" s="33"/>
    </row>
    <row r="198" spans="1:7" s="54" customFormat="1" ht="11.4" customHeight="1" x14ac:dyDescent="0.3">
      <c r="A198" s="33"/>
      <c r="B198" s="33"/>
      <c r="C198" s="33"/>
      <c r="D198" s="33"/>
      <c r="E198" s="33"/>
      <c r="F198" s="33"/>
      <c r="G198" s="33"/>
    </row>
    <row r="199" spans="1:7" s="54" customFormat="1" ht="11.4" customHeight="1" x14ac:dyDescent="0.3">
      <c r="A199" s="33"/>
      <c r="B199" s="33"/>
      <c r="C199" s="33"/>
      <c r="D199" s="33"/>
      <c r="E199" s="33"/>
      <c r="F199" s="33"/>
      <c r="G199" s="33"/>
    </row>
    <row r="200" spans="1:7" s="54" customFormat="1" ht="11.4" customHeight="1" x14ac:dyDescent="0.3">
      <c r="A200" s="33"/>
      <c r="B200" s="33"/>
      <c r="C200" s="33"/>
      <c r="D200" s="33"/>
      <c r="E200" s="33"/>
      <c r="F200" s="33"/>
      <c r="G200" s="33"/>
    </row>
    <row r="201" spans="1:7" s="54" customFormat="1" ht="11.4" customHeight="1" x14ac:dyDescent="0.3">
      <c r="A201" s="33"/>
      <c r="B201" s="33"/>
      <c r="C201" s="33"/>
      <c r="D201" s="33"/>
      <c r="E201" s="33"/>
      <c r="F201" s="33"/>
      <c r="G201" s="33"/>
    </row>
    <row r="202" spans="1:7" s="54" customFormat="1" ht="11.4" customHeight="1" x14ac:dyDescent="0.3">
      <c r="A202" s="33"/>
      <c r="B202" s="33"/>
      <c r="C202" s="33"/>
      <c r="D202" s="33"/>
      <c r="E202" s="33"/>
      <c r="F202" s="33"/>
      <c r="G202" s="33"/>
    </row>
    <row r="203" spans="1:7" s="54" customFormat="1" ht="11.4" customHeight="1" x14ac:dyDescent="0.3">
      <c r="A203" s="33"/>
      <c r="B203" s="33"/>
      <c r="C203" s="33"/>
      <c r="D203" s="33"/>
      <c r="E203" s="33"/>
      <c r="F203" s="33"/>
      <c r="G203" s="33"/>
    </row>
    <row r="204" spans="1:7" s="54" customFormat="1" ht="11.4" customHeight="1" x14ac:dyDescent="0.3">
      <c r="A204" s="33"/>
      <c r="B204" s="33"/>
      <c r="C204" s="33"/>
      <c r="D204" s="33"/>
      <c r="E204" s="33"/>
      <c r="F204" s="33"/>
      <c r="G204" s="33"/>
    </row>
    <row r="205" spans="1:7" s="54" customFormat="1" ht="11.4" customHeight="1" x14ac:dyDescent="0.3">
      <c r="A205" s="33"/>
      <c r="B205" s="33"/>
      <c r="C205" s="33"/>
      <c r="D205" s="33"/>
      <c r="E205" s="33"/>
      <c r="F205" s="33"/>
      <c r="G205" s="33"/>
    </row>
    <row r="206" spans="1:7" s="54" customFormat="1" ht="11.4" customHeight="1" x14ac:dyDescent="0.3">
      <c r="A206" s="33"/>
      <c r="B206" s="33"/>
      <c r="C206" s="33"/>
      <c r="D206" s="33"/>
      <c r="E206" s="33"/>
      <c r="F206" s="33"/>
      <c r="G206" s="33"/>
    </row>
    <row r="207" spans="1:7" s="54" customFormat="1" ht="11.4" customHeight="1" x14ac:dyDescent="0.3">
      <c r="A207" s="33"/>
      <c r="B207" s="33"/>
      <c r="C207" s="33"/>
      <c r="D207" s="33"/>
      <c r="E207" s="33"/>
      <c r="F207" s="33"/>
      <c r="G207" s="33"/>
    </row>
    <row r="208" spans="1:7" s="54" customFormat="1" ht="11.4" customHeight="1" x14ac:dyDescent="0.3">
      <c r="A208" s="33"/>
      <c r="B208" s="33"/>
      <c r="C208" s="33"/>
      <c r="D208" s="33"/>
      <c r="E208" s="33"/>
      <c r="F208" s="33"/>
      <c r="G208" s="33"/>
    </row>
    <row r="209" spans="1:7" s="54" customFormat="1" ht="11.4" customHeight="1" x14ac:dyDescent="0.3">
      <c r="A209" s="33"/>
      <c r="B209" s="33"/>
      <c r="C209" s="33"/>
      <c r="D209" s="33"/>
      <c r="E209" s="33"/>
      <c r="F209" s="33"/>
      <c r="G209" s="33"/>
    </row>
    <row r="210" spans="1:7" s="54" customFormat="1" ht="11.4" customHeight="1" x14ac:dyDescent="0.3">
      <c r="A210" s="33"/>
      <c r="B210" s="33"/>
      <c r="C210" s="33"/>
      <c r="D210" s="33"/>
      <c r="E210" s="33"/>
      <c r="F210" s="33"/>
      <c r="G210" s="33"/>
    </row>
    <row r="211" spans="1:7" s="54" customFormat="1" ht="11.4" customHeight="1" x14ac:dyDescent="0.3">
      <c r="A211" s="33"/>
      <c r="B211" s="33"/>
      <c r="C211" s="33"/>
      <c r="D211" s="33"/>
      <c r="E211" s="33"/>
      <c r="F211" s="33"/>
      <c r="G211" s="33"/>
    </row>
    <row r="212" spans="1:7" s="54" customFormat="1" ht="11.4" customHeight="1" x14ac:dyDescent="0.3">
      <c r="A212" s="33"/>
      <c r="B212" s="33"/>
      <c r="C212" s="33"/>
      <c r="D212" s="33"/>
      <c r="E212" s="33"/>
      <c r="F212" s="33"/>
      <c r="G212" s="33"/>
    </row>
    <row r="213" spans="1:7" s="54" customFormat="1" ht="11.4" customHeight="1" x14ac:dyDescent="0.3">
      <c r="A213" s="33"/>
      <c r="B213" s="33"/>
      <c r="C213" s="33"/>
      <c r="D213" s="33"/>
      <c r="E213" s="33"/>
      <c r="F213" s="33"/>
      <c r="G213" s="33"/>
    </row>
    <row r="214" spans="1:7" s="54" customFormat="1" ht="11.4" customHeight="1" x14ac:dyDescent="0.3">
      <c r="A214" s="33"/>
      <c r="B214" s="33"/>
      <c r="C214" s="33"/>
      <c r="D214" s="33"/>
      <c r="E214" s="33"/>
      <c r="F214" s="33"/>
      <c r="G214" s="33"/>
    </row>
    <row r="215" spans="1:7" s="54" customFormat="1" ht="11.4" customHeight="1" x14ac:dyDescent="0.3">
      <c r="A215" s="33"/>
      <c r="B215" s="33"/>
      <c r="C215" s="33"/>
      <c r="D215" s="33"/>
      <c r="E215" s="33"/>
      <c r="F215" s="33"/>
      <c r="G215" s="33"/>
    </row>
    <row r="216" spans="1:7" s="54" customFormat="1" ht="11.4" customHeight="1" x14ac:dyDescent="0.3">
      <c r="A216" s="33"/>
      <c r="B216" s="33"/>
      <c r="C216" s="33"/>
      <c r="D216" s="33"/>
      <c r="E216" s="33"/>
      <c r="F216" s="33"/>
      <c r="G216" s="33"/>
    </row>
    <row r="217" spans="1:7" s="54" customFormat="1" ht="11.4" customHeight="1" x14ac:dyDescent="0.3">
      <c r="A217" s="33"/>
      <c r="B217" s="33"/>
      <c r="C217" s="33"/>
      <c r="D217" s="33"/>
      <c r="E217" s="33"/>
      <c r="F217" s="33"/>
      <c r="G217" s="33"/>
    </row>
    <row r="218" spans="1:7" s="54" customFormat="1" ht="11.4" customHeight="1" x14ac:dyDescent="0.3">
      <c r="A218" s="33"/>
      <c r="B218" s="33"/>
      <c r="C218" s="33"/>
      <c r="D218" s="33"/>
      <c r="E218" s="33"/>
      <c r="F218" s="33"/>
      <c r="G218" s="33"/>
    </row>
    <row r="219" spans="1:7" s="54" customFormat="1" ht="11.4" customHeight="1" x14ac:dyDescent="0.3">
      <c r="A219" s="33"/>
      <c r="B219" s="33"/>
      <c r="C219" s="33"/>
      <c r="D219" s="33"/>
      <c r="E219" s="33"/>
      <c r="F219" s="33"/>
      <c r="G219" s="33"/>
    </row>
    <row r="220" spans="1:7" s="54" customFormat="1" ht="11.4" customHeight="1" x14ac:dyDescent="0.3">
      <c r="A220" s="33"/>
      <c r="B220" s="33"/>
      <c r="C220" s="33"/>
      <c r="D220" s="33"/>
      <c r="E220" s="33"/>
      <c r="F220" s="33"/>
      <c r="G220" s="33"/>
    </row>
    <row r="221" spans="1:7" s="54" customFormat="1" ht="11.4" customHeight="1" x14ac:dyDescent="0.3">
      <c r="A221" s="33"/>
      <c r="B221" s="33"/>
      <c r="C221" s="33"/>
      <c r="D221" s="33"/>
      <c r="E221" s="33"/>
      <c r="F221" s="33"/>
      <c r="G221" s="33"/>
    </row>
    <row r="222" spans="1:7" s="54" customFormat="1" ht="11.4" customHeight="1" x14ac:dyDescent="0.3">
      <c r="A222" s="33"/>
      <c r="B222" s="33"/>
      <c r="C222" s="33"/>
      <c r="D222" s="33"/>
      <c r="E222" s="33"/>
      <c r="F222" s="33"/>
      <c r="G222" s="33"/>
    </row>
    <row r="223" spans="1:7" s="54" customFormat="1" ht="11.4" customHeight="1" x14ac:dyDescent="0.3">
      <c r="A223" s="33"/>
      <c r="B223" s="33"/>
      <c r="C223" s="33"/>
      <c r="D223" s="33"/>
      <c r="E223" s="33"/>
      <c r="F223" s="33"/>
      <c r="G223" s="33"/>
    </row>
    <row r="224" spans="1:7" s="54" customFormat="1" ht="11.4" customHeight="1" x14ac:dyDescent="0.3">
      <c r="A224" s="33"/>
      <c r="B224" s="33"/>
      <c r="C224" s="33"/>
      <c r="D224" s="33"/>
      <c r="E224" s="33"/>
      <c r="F224" s="33"/>
      <c r="G224" s="33"/>
    </row>
    <row r="225" spans="1:7" s="54" customFormat="1" ht="11.4" customHeight="1" x14ac:dyDescent="0.3">
      <c r="A225" s="33"/>
      <c r="B225" s="33"/>
      <c r="C225" s="33"/>
      <c r="D225" s="33"/>
      <c r="E225" s="33"/>
      <c r="F225" s="33"/>
      <c r="G225" s="33"/>
    </row>
    <row r="226" spans="1:7" s="54" customFormat="1" ht="11.4" customHeight="1" x14ac:dyDescent="0.3">
      <c r="A226" s="33"/>
      <c r="B226" s="33"/>
      <c r="C226" s="33"/>
      <c r="D226" s="33"/>
      <c r="E226" s="33"/>
      <c r="F226" s="33"/>
      <c r="G226" s="33"/>
    </row>
    <row r="227" spans="1:7" s="54" customFormat="1" ht="11.4" customHeight="1" x14ac:dyDescent="0.3">
      <c r="A227" s="33"/>
      <c r="B227" s="33"/>
      <c r="C227" s="33"/>
      <c r="D227" s="33"/>
      <c r="E227" s="33"/>
      <c r="F227" s="33"/>
      <c r="G227" s="33"/>
    </row>
    <row r="228" spans="1:7" s="54" customFormat="1" ht="11.4" customHeight="1" x14ac:dyDescent="0.3">
      <c r="A228" s="33"/>
      <c r="B228" s="33"/>
      <c r="C228" s="33"/>
      <c r="D228" s="33"/>
      <c r="E228" s="33"/>
      <c r="F228" s="33"/>
      <c r="G228" s="33"/>
    </row>
    <row r="229" spans="1:7" s="54" customFormat="1" ht="11.4" customHeight="1" x14ac:dyDescent="0.3">
      <c r="A229" s="33"/>
      <c r="B229" s="33"/>
      <c r="C229" s="33"/>
      <c r="D229" s="33"/>
      <c r="E229" s="33"/>
      <c r="F229" s="33"/>
      <c r="G229" s="33"/>
    </row>
    <row r="230" spans="1:7" s="54" customFormat="1" ht="11.4" customHeight="1" x14ac:dyDescent="0.3">
      <c r="A230" s="33"/>
      <c r="B230" s="33"/>
      <c r="C230" s="33"/>
      <c r="D230" s="33"/>
      <c r="E230" s="33"/>
      <c r="F230" s="33"/>
      <c r="G230" s="33"/>
    </row>
    <row r="231" spans="1:7" s="54" customFormat="1" ht="11.4" customHeight="1" x14ac:dyDescent="0.3">
      <c r="A231" s="33"/>
      <c r="B231" s="33"/>
      <c r="C231" s="33"/>
      <c r="D231" s="33"/>
      <c r="E231" s="33"/>
      <c r="F231" s="33"/>
      <c r="G231" s="33"/>
    </row>
    <row r="232" spans="1:7" s="54" customFormat="1" ht="11.4" customHeight="1" x14ac:dyDescent="0.3">
      <c r="A232" s="33"/>
      <c r="B232" s="33"/>
      <c r="C232" s="33"/>
      <c r="D232" s="33"/>
      <c r="E232" s="33"/>
      <c r="F232" s="33"/>
      <c r="G232" s="33"/>
    </row>
    <row r="233" spans="1:7" s="54" customFormat="1" ht="11.4" customHeight="1" x14ac:dyDescent="0.3">
      <c r="A233" s="33"/>
      <c r="B233" s="33"/>
      <c r="C233" s="33"/>
      <c r="D233" s="33"/>
      <c r="E233" s="33"/>
      <c r="F233" s="33"/>
      <c r="G233" s="33"/>
    </row>
    <row r="234" spans="1:7" s="54" customFormat="1" ht="11.4" customHeight="1" x14ac:dyDescent="0.3">
      <c r="A234" s="33"/>
      <c r="B234" s="33"/>
      <c r="C234" s="33"/>
      <c r="D234" s="33"/>
      <c r="E234" s="33"/>
      <c r="F234" s="33"/>
      <c r="G234" s="33"/>
    </row>
    <row r="235" spans="1:7" s="54" customFormat="1" ht="11.4" customHeight="1" x14ac:dyDescent="0.3">
      <c r="A235" s="33"/>
      <c r="B235" s="33"/>
      <c r="C235" s="33"/>
      <c r="D235" s="33"/>
      <c r="E235" s="33"/>
      <c r="F235" s="33"/>
      <c r="G235" s="33"/>
    </row>
    <row r="236" spans="1:7" s="54" customFormat="1" ht="11.4" customHeight="1" x14ac:dyDescent="0.3">
      <c r="A236" s="33"/>
      <c r="B236" s="33"/>
      <c r="C236" s="33"/>
      <c r="D236" s="33"/>
      <c r="E236" s="33"/>
      <c r="F236" s="33"/>
      <c r="G236" s="33"/>
    </row>
    <row r="237" spans="1:7" s="54" customFormat="1" ht="11.4" customHeight="1" x14ac:dyDescent="0.3">
      <c r="A237" s="33"/>
      <c r="B237" s="33"/>
      <c r="C237" s="33"/>
      <c r="D237" s="33"/>
      <c r="E237" s="33"/>
      <c r="F237" s="33"/>
      <c r="G237" s="33"/>
    </row>
    <row r="238" spans="1:7" s="54" customFormat="1" ht="11.4" customHeight="1" x14ac:dyDescent="0.3">
      <c r="A238" s="33"/>
      <c r="B238" s="33"/>
      <c r="C238" s="33"/>
      <c r="D238" s="33"/>
      <c r="E238" s="33"/>
      <c r="F238" s="33"/>
      <c r="G238" s="33"/>
    </row>
    <row r="239" spans="1:7" s="54" customFormat="1" ht="11.4" customHeight="1" x14ac:dyDescent="0.3">
      <c r="A239" s="33"/>
      <c r="B239" s="33"/>
      <c r="C239" s="33"/>
      <c r="D239" s="33"/>
      <c r="E239" s="33"/>
      <c r="F239" s="33"/>
      <c r="G239" s="33"/>
    </row>
    <row r="240" spans="1:7" s="54" customFormat="1" ht="11.4" customHeight="1" x14ac:dyDescent="0.3">
      <c r="A240" s="33"/>
      <c r="B240" s="33"/>
      <c r="C240" s="33"/>
      <c r="D240" s="33"/>
      <c r="E240" s="33"/>
      <c r="F240" s="33"/>
      <c r="G240" s="33"/>
    </row>
    <row r="241" spans="1:7" s="54" customFormat="1" ht="11.4" customHeight="1" x14ac:dyDescent="0.3">
      <c r="A241" s="33"/>
      <c r="B241" s="33"/>
      <c r="C241" s="33"/>
      <c r="D241" s="33"/>
      <c r="E241" s="33"/>
      <c r="F241" s="33"/>
      <c r="G241" s="33"/>
    </row>
    <row r="242" spans="1:7" s="54" customFormat="1" ht="11.4" customHeight="1" x14ac:dyDescent="0.3">
      <c r="A242" s="33"/>
      <c r="B242" s="33"/>
      <c r="C242" s="33"/>
      <c r="D242" s="33"/>
      <c r="E242" s="33"/>
      <c r="F242" s="33"/>
      <c r="G242" s="33"/>
    </row>
    <row r="243" spans="1:7" s="54" customFormat="1" ht="11.4" customHeight="1" x14ac:dyDescent="0.3">
      <c r="A243" s="33"/>
      <c r="B243" s="33"/>
      <c r="C243" s="33"/>
      <c r="D243" s="33"/>
      <c r="E243" s="33"/>
      <c r="F243" s="33"/>
      <c r="G243" s="33"/>
    </row>
    <row r="244" spans="1:7" s="54" customFormat="1" ht="11.4" customHeight="1" x14ac:dyDescent="0.3">
      <c r="A244" s="33"/>
      <c r="B244" s="33"/>
      <c r="C244" s="33"/>
      <c r="D244" s="33"/>
      <c r="E244" s="33"/>
      <c r="F244" s="33"/>
      <c r="G244" s="33"/>
    </row>
    <row r="245" spans="1:7" s="54" customFormat="1" ht="11.4" customHeight="1" x14ac:dyDescent="0.3">
      <c r="A245" s="33"/>
      <c r="B245" s="33"/>
      <c r="C245" s="33"/>
      <c r="D245" s="33"/>
      <c r="E245" s="33"/>
      <c r="F245" s="33"/>
      <c r="G245" s="33"/>
    </row>
    <row r="246" spans="1:7" s="54" customFormat="1" ht="11.4" customHeight="1" x14ac:dyDescent="0.3">
      <c r="A246" s="33"/>
      <c r="B246" s="33"/>
      <c r="C246" s="33"/>
      <c r="D246" s="33"/>
      <c r="E246" s="33"/>
      <c r="F246" s="33"/>
      <c r="G246" s="33"/>
    </row>
    <row r="247" spans="1:7" s="54" customFormat="1" ht="11.4" customHeight="1" x14ac:dyDescent="0.3">
      <c r="A247" s="33"/>
      <c r="B247" s="33"/>
      <c r="C247" s="33"/>
      <c r="D247" s="33"/>
      <c r="E247" s="33"/>
      <c r="F247" s="33"/>
      <c r="G247" s="33"/>
    </row>
    <row r="248" spans="1:7" s="54" customFormat="1" ht="11.4" customHeight="1" x14ac:dyDescent="0.3">
      <c r="A248" s="33"/>
      <c r="B248" s="33"/>
      <c r="C248" s="33"/>
      <c r="D248" s="33"/>
      <c r="E248" s="33"/>
      <c r="F248" s="33"/>
      <c r="G248" s="33"/>
    </row>
    <row r="249" spans="1:7" s="54" customFormat="1" ht="11.4" customHeight="1" x14ac:dyDescent="0.3">
      <c r="A249" s="33"/>
      <c r="B249" s="33"/>
      <c r="C249" s="33"/>
      <c r="D249" s="33"/>
      <c r="E249" s="33"/>
      <c r="F249" s="33"/>
      <c r="G249" s="33"/>
    </row>
    <row r="250" spans="1:7" s="54" customFormat="1" ht="11.4" customHeight="1" x14ac:dyDescent="0.3">
      <c r="A250" s="33"/>
      <c r="B250" s="33"/>
      <c r="C250" s="33"/>
      <c r="D250" s="33"/>
      <c r="E250" s="33"/>
      <c r="F250" s="33"/>
      <c r="G250" s="33"/>
    </row>
    <row r="251" spans="1:7" s="54" customFormat="1" ht="11.4" customHeight="1" x14ac:dyDescent="0.3">
      <c r="A251" s="33"/>
      <c r="B251" s="33"/>
      <c r="C251" s="33"/>
      <c r="D251" s="33"/>
      <c r="E251" s="33"/>
      <c r="F251" s="33"/>
      <c r="G251" s="33"/>
    </row>
    <row r="252" spans="1:7" s="54" customFormat="1" ht="11.4" customHeight="1" x14ac:dyDescent="0.3">
      <c r="A252" s="33"/>
      <c r="B252" s="33"/>
      <c r="C252" s="33"/>
      <c r="D252" s="33"/>
      <c r="E252" s="33"/>
      <c r="F252" s="33"/>
      <c r="G252" s="33"/>
    </row>
    <row r="253" spans="1:7" s="54" customFormat="1" ht="11.4" customHeight="1" x14ac:dyDescent="0.3">
      <c r="A253" s="33"/>
      <c r="B253" s="33"/>
      <c r="C253" s="33"/>
      <c r="D253" s="33"/>
      <c r="E253" s="33"/>
      <c r="F253" s="33"/>
      <c r="G253" s="33"/>
    </row>
    <row r="254" spans="1:7" s="54" customFormat="1" ht="11.4" customHeight="1" x14ac:dyDescent="0.3">
      <c r="A254" s="33"/>
      <c r="B254" s="33"/>
      <c r="C254" s="33"/>
      <c r="D254" s="33"/>
      <c r="E254" s="33"/>
      <c r="F254" s="33"/>
      <c r="G254" s="33"/>
    </row>
    <row r="255" spans="1:7" s="54" customFormat="1" ht="11.4" customHeight="1" x14ac:dyDescent="0.3">
      <c r="A255" s="33"/>
      <c r="B255" s="33"/>
      <c r="C255" s="33"/>
      <c r="D255" s="33"/>
      <c r="E255" s="33"/>
      <c r="F255" s="33"/>
      <c r="G255" s="33"/>
    </row>
    <row r="256" spans="1:7" s="54" customFormat="1" ht="11.4" customHeight="1" x14ac:dyDescent="0.3">
      <c r="A256" s="33"/>
      <c r="B256" s="33"/>
      <c r="C256" s="33"/>
      <c r="D256" s="33"/>
      <c r="E256" s="33"/>
      <c r="F256" s="33"/>
      <c r="G256" s="33"/>
    </row>
    <row r="257" spans="1:7" s="54" customFormat="1" ht="11.4" customHeight="1" x14ac:dyDescent="0.3">
      <c r="A257" s="33"/>
      <c r="B257" s="33"/>
      <c r="C257" s="33"/>
      <c r="D257" s="33"/>
      <c r="E257" s="33"/>
      <c r="F257" s="33"/>
      <c r="G257" s="33"/>
    </row>
    <row r="258" spans="1:7" s="54" customFormat="1" ht="11.4" customHeight="1" x14ac:dyDescent="0.3">
      <c r="A258" s="33"/>
      <c r="B258" s="33"/>
      <c r="C258" s="33"/>
      <c r="D258" s="33"/>
      <c r="E258" s="33"/>
      <c r="F258" s="33"/>
      <c r="G258" s="33"/>
    </row>
    <row r="259" spans="1:7" s="54" customFormat="1" ht="11.4" customHeight="1" x14ac:dyDescent="0.3">
      <c r="A259" s="33"/>
      <c r="B259" s="33"/>
      <c r="C259" s="33"/>
      <c r="D259" s="33"/>
      <c r="E259" s="33"/>
      <c r="F259" s="33"/>
      <c r="G259" s="33"/>
    </row>
    <row r="260" spans="1:7" s="54" customFormat="1" ht="11.4" customHeight="1" x14ac:dyDescent="0.3">
      <c r="A260" s="33"/>
      <c r="B260" s="33"/>
      <c r="C260" s="33"/>
      <c r="D260" s="33"/>
      <c r="E260" s="33"/>
      <c r="F260" s="33"/>
      <c r="G260" s="33"/>
    </row>
    <row r="261" spans="1:7" s="54" customFormat="1" ht="11.4" customHeight="1" x14ac:dyDescent="0.3">
      <c r="A261" s="33"/>
      <c r="B261" s="33"/>
      <c r="C261" s="33"/>
      <c r="D261" s="33"/>
      <c r="E261" s="33"/>
      <c r="F261" s="33"/>
      <c r="G261" s="33"/>
    </row>
    <row r="262" spans="1:7" s="54" customFormat="1" ht="11.4" customHeight="1" x14ac:dyDescent="0.3">
      <c r="A262" s="33"/>
      <c r="B262" s="33"/>
      <c r="C262" s="33"/>
      <c r="D262" s="33"/>
      <c r="E262" s="33"/>
      <c r="F262" s="33"/>
      <c r="G262" s="33"/>
    </row>
    <row r="263" spans="1:7" s="54" customFormat="1" ht="11.4" customHeight="1" x14ac:dyDescent="0.3">
      <c r="A263" s="33"/>
      <c r="B263" s="33"/>
      <c r="C263" s="33"/>
      <c r="D263" s="33"/>
      <c r="E263" s="33"/>
      <c r="F263" s="33"/>
      <c r="G263" s="33"/>
    </row>
    <row r="264" spans="1:7" s="54" customFormat="1" ht="11.4" customHeight="1" x14ac:dyDescent="0.3">
      <c r="A264" s="33"/>
      <c r="B264" s="33"/>
      <c r="C264" s="33"/>
      <c r="D264" s="33"/>
      <c r="E264" s="33"/>
      <c r="F264" s="33"/>
      <c r="G264" s="33"/>
    </row>
    <row r="265" spans="1:7" s="54" customFormat="1" ht="11.4" customHeight="1" x14ac:dyDescent="0.3">
      <c r="A265" s="33"/>
      <c r="B265" s="33"/>
      <c r="C265" s="33"/>
      <c r="D265" s="33"/>
      <c r="E265" s="33"/>
      <c r="F265" s="33"/>
      <c r="G265" s="33"/>
    </row>
    <row r="266" spans="1:7" s="54" customFormat="1" ht="11.4" customHeight="1" x14ac:dyDescent="0.3">
      <c r="A266" s="33"/>
      <c r="B266" s="33"/>
      <c r="C266" s="33"/>
      <c r="D266" s="33"/>
      <c r="E266" s="33"/>
      <c r="F266" s="33"/>
      <c r="G266" s="33"/>
    </row>
    <row r="267" spans="1:7" s="54" customFormat="1" ht="11.4" customHeight="1" x14ac:dyDescent="0.3">
      <c r="A267" s="33"/>
      <c r="B267" s="33"/>
      <c r="C267" s="33"/>
      <c r="D267" s="33"/>
      <c r="E267" s="33"/>
      <c r="F267" s="33"/>
      <c r="G267" s="33"/>
    </row>
    <row r="268" spans="1:7" s="54" customFormat="1" ht="11.4" customHeight="1" x14ac:dyDescent="0.3">
      <c r="A268" s="33"/>
      <c r="B268" s="33"/>
      <c r="C268" s="33"/>
      <c r="D268" s="33"/>
      <c r="E268" s="33"/>
      <c r="F268" s="33"/>
      <c r="G268" s="33"/>
    </row>
    <row r="269" spans="1:7" s="54" customFormat="1" ht="11.4" customHeight="1" x14ac:dyDescent="0.3">
      <c r="A269" s="33"/>
      <c r="B269" s="33"/>
      <c r="C269" s="33"/>
      <c r="D269" s="33"/>
      <c r="E269" s="33"/>
      <c r="F269" s="33"/>
      <c r="G269" s="33"/>
    </row>
    <row r="270" spans="1:7" s="54" customFormat="1" ht="11.4" customHeight="1" x14ac:dyDescent="0.3">
      <c r="A270" s="33"/>
      <c r="B270" s="33"/>
      <c r="C270" s="33"/>
      <c r="D270" s="33"/>
      <c r="E270" s="33"/>
      <c r="F270" s="33"/>
      <c r="G270" s="33"/>
    </row>
    <row r="271" spans="1:7" s="54" customFormat="1" ht="11.4" customHeight="1" x14ac:dyDescent="0.3">
      <c r="A271" s="33"/>
      <c r="B271" s="33"/>
      <c r="C271" s="33"/>
      <c r="D271" s="33"/>
      <c r="E271" s="33"/>
      <c r="F271" s="33"/>
      <c r="G271" s="33"/>
    </row>
    <row r="272" spans="1:7" s="54" customFormat="1" ht="11.4" customHeight="1" x14ac:dyDescent="0.3">
      <c r="A272" s="33"/>
      <c r="B272" s="33"/>
      <c r="C272" s="33"/>
      <c r="D272" s="33"/>
      <c r="E272" s="33"/>
      <c r="F272" s="33"/>
      <c r="G272" s="33"/>
    </row>
    <row r="273" spans="1:7" s="54" customFormat="1" ht="11.4" customHeight="1" x14ac:dyDescent="0.3">
      <c r="A273" s="33"/>
      <c r="B273" s="33"/>
      <c r="C273" s="33"/>
      <c r="D273" s="33"/>
      <c r="E273" s="33"/>
      <c r="F273" s="33"/>
      <c r="G273" s="33"/>
    </row>
    <row r="274" spans="1:7" s="54" customFormat="1" ht="11.4" customHeight="1" x14ac:dyDescent="0.3">
      <c r="A274" s="33"/>
      <c r="B274" s="33"/>
      <c r="C274" s="33"/>
      <c r="D274" s="33"/>
      <c r="E274" s="33"/>
      <c r="F274" s="33"/>
      <c r="G274" s="33"/>
    </row>
    <row r="275" spans="1:7" s="54" customFormat="1" ht="11.4" customHeight="1" x14ac:dyDescent="0.3">
      <c r="A275" s="33"/>
      <c r="B275" s="33"/>
      <c r="C275" s="33"/>
      <c r="D275" s="33"/>
      <c r="E275" s="33"/>
      <c r="F275" s="33"/>
      <c r="G275" s="33"/>
    </row>
    <row r="276" spans="1:7" s="54" customFormat="1" ht="11.4" customHeight="1" x14ac:dyDescent="0.3">
      <c r="A276" s="33"/>
      <c r="B276" s="33"/>
      <c r="C276" s="33"/>
      <c r="D276" s="33"/>
      <c r="E276" s="33"/>
      <c r="F276" s="33"/>
      <c r="G276" s="33"/>
    </row>
    <row r="277" spans="1:7" s="54" customFormat="1" ht="11.4" customHeight="1" x14ac:dyDescent="0.3">
      <c r="A277" s="33"/>
      <c r="B277" s="33"/>
      <c r="C277" s="33"/>
      <c r="D277" s="33"/>
      <c r="E277" s="33"/>
      <c r="F277" s="33"/>
      <c r="G277" s="33"/>
    </row>
    <row r="278" spans="1:7" s="54" customFormat="1" ht="11.4" customHeight="1" x14ac:dyDescent="0.3">
      <c r="A278" s="33"/>
      <c r="B278" s="33"/>
      <c r="C278" s="33"/>
      <c r="D278" s="33"/>
      <c r="E278" s="33"/>
      <c r="F278" s="33"/>
      <c r="G278" s="33"/>
    </row>
    <row r="279" spans="1:7" s="54" customFormat="1" ht="11.4" customHeight="1" x14ac:dyDescent="0.3">
      <c r="A279" s="33"/>
      <c r="B279" s="33"/>
      <c r="C279" s="33"/>
      <c r="D279" s="33"/>
      <c r="E279" s="33"/>
      <c r="F279" s="33"/>
      <c r="G279" s="33"/>
    </row>
    <row r="280" spans="1:7" s="54" customFormat="1" ht="11.4" customHeight="1" x14ac:dyDescent="0.3">
      <c r="A280" s="33"/>
      <c r="B280" s="33"/>
      <c r="C280" s="33"/>
      <c r="D280" s="33"/>
      <c r="E280" s="33"/>
      <c r="F280" s="33"/>
      <c r="G280" s="33"/>
    </row>
    <row r="281" spans="1:7" s="54" customFormat="1" ht="11.4" customHeight="1" x14ac:dyDescent="0.3">
      <c r="A281" s="33"/>
      <c r="B281" s="33"/>
      <c r="C281" s="33"/>
      <c r="D281" s="33"/>
      <c r="E281" s="33"/>
      <c r="F281" s="33"/>
      <c r="G281" s="33"/>
    </row>
    <row r="282" spans="1:7" s="54" customFormat="1" ht="11.4" customHeight="1" x14ac:dyDescent="0.3">
      <c r="A282" s="33"/>
      <c r="B282" s="33"/>
      <c r="C282" s="33"/>
      <c r="D282" s="33"/>
      <c r="E282" s="33"/>
      <c r="F282" s="33"/>
      <c r="G282" s="33"/>
    </row>
    <row r="283" spans="1:7" s="54" customFormat="1" ht="11.4" customHeight="1" x14ac:dyDescent="0.3">
      <c r="A283" s="33"/>
      <c r="B283" s="33"/>
      <c r="C283" s="33"/>
      <c r="D283" s="33"/>
      <c r="E283" s="33"/>
      <c r="F283" s="33"/>
      <c r="G283" s="33"/>
    </row>
    <row r="284" spans="1:7" s="54" customFormat="1" ht="11.4" customHeight="1" x14ac:dyDescent="0.3">
      <c r="A284" s="33"/>
      <c r="B284" s="33"/>
      <c r="C284" s="33"/>
      <c r="D284" s="33"/>
      <c r="E284" s="33"/>
      <c r="F284" s="33"/>
      <c r="G284" s="33"/>
    </row>
    <row r="285" spans="1:7" s="54" customFormat="1" ht="11.4" customHeight="1" x14ac:dyDescent="0.3">
      <c r="A285" s="33"/>
      <c r="B285" s="33"/>
      <c r="C285" s="33"/>
      <c r="D285" s="33"/>
      <c r="E285" s="33"/>
      <c r="F285" s="33"/>
      <c r="G285" s="33"/>
    </row>
    <row r="286" spans="1:7" s="54" customFormat="1" ht="11.4" customHeight="1" x14ac:dyDescent="0.3">
      <c r="A286" s="33"/>
      <c r="B286" s="33"/>
      <c r="C286" s="33"/>
      <c r="D286" s="33"/>
      <c r="E286" s="33"/>
      <c r="F286" s="33"/>
      <c r="G286" s="33"/>
    </row>
    <row r="287" spans="1:7" s="54" customFormat="1" ht="11.4" customHeight="1" x14ac:dyDescent="0.3">
      <c r="A287" s="33"/>
      <c r="B287" s="33"/>
      <c r="C287" s="33"/>
      <c r="D287" s="33"/>
      <c r="E287" s="33"/>
      <c r="F287" s="33"/>
      <c r="G287" s="33"/>
    </row>
    <row r="288" spans="1:7" s="54" customFormat="1" ht="11.4" customHeight="1" x14ac:dyDescent="0.3">
      <c r="A288" s="33"/>
      <c r="B288" s="33"/>
      <c r="C288" s="33"/>
      <c r="D288" s="33"/>
      <c r="E288" s="33"/>
      <c r="F288" s="33"/>
      <c r="G288" s="33"/>
    </row>
    <row r="289" spans="1:7" s="54" customFormat="1" ht="11.4" customHeight="1" x14ac:dyDescent="0.3">
      <c r="A289" s="33"/>
      <c r="B289" s="33"/>
      <c r="C289" s="33"/>
      <c r="D289" s="33"/>
      <c r="E289" s="33"/>
      <c r="F289" s="33"/>
      <c r="G289" s="33"/>
    </row>
    <row r="290" spans="1:7" s="54" customFormat="1" ht="11.4" customHeight="1" x14ac:dyDescent="0.3">
      <c r="A290" s="33"/>
      <c r="B290" s="33"/>
      <c r="C290" s="33"/>
      <c r="D290" s="33"/>
      <c r="E290" s="33"/>
      <c r="F290" s="33"/>
      <c r="G290" s="33"/>
    </row>
    <row r="291" spans="1:7" s="54" customFormat="1" ht="11.4" customHeight="1" x14ac:dyDescent="0.3">
      <c r="A291" s="33"/>
      <c r="B291" s="33"/>
      <c r="C291" s="33"/>
      <c r="D291" s="33"/>
      <c r="E291" s="33"/>
      <c r="F291" s="33"/>
      <c r="G291" s="33"/>
    </row>
    <row r="292" spans="1:7" s="54" customFormat="1" ht="11.4" customHeight="1" x14ac:dyDescent="0.3">
      <c r="A292" s="33"/>
      <c r="B292" s="33"/>
      <c r="C292" s="33"/>
      <c r="D292" s="33"/>
      <c r="E292" s="33"/>
      <c r="F292" s="33"/>
      <c r="G292" s="33"/>
    </row>
    <row r="293" spans="1:7" s="54" customFormat="1" ht="11.4" customHeight="1" x14ac:dyDescent="0.3">
      <c r="A293" s="33"/>
      <c r="B293" s="33"/>
      <c r="C293" s="33"/>
      <c r="D293" s="33"/>
      <c r="E293" s="33"/>
      <c r="F293" s="33"/>
      <c r="G293" s="33"/>
    </row>
    <row r="294" spans="1:7" s="54" customFormat="1" ht="11.4" customHeight="1" x14ac:dyDescent="0.3">
      <c r="A294" s="33"/>
      <c r="B294" s="33"/>
      <c r="C294" s="33"/>
      <c r="D294" s="33"/>
      <c r="E294" s="33"/>
      <c r="F294" s="33"/>
      <c r="G294" s="33"/>
    </row>
    <row r="295" spans="1:7" s="54" customFormat="1" ht="11.4" customHeight="1" x14ac:dyDescent="0.3">
      <c r="A295" s="33"/>
      <c r="B295" s="33"/>
      <c r="C295" s="33"/>
      <c r="D295" s="33"/>
      <c r="E295" s="33"/>
      <c r="F295" s="33"/>
      <c r="G295" s="33"/>
    </row>
    <row r="296" spans="1:7" s="54" customFormat="1" ht="11.4" customHeight="1" x14ac:dyDescent="0.3">
      <c r="A296" s="33"/>
      <c r="B296" s="33"/>
      <c r="C296" s="33"/>
      <c r="D296" s="33"/>
      <c r="E296" s="33"/>
      <c r="F296" s="33"/>
      <c r="G296" s="33"/>
    </row>
    <row r="297" spans="1:7" s="54" customFormat="1" ht="11.4" customHeight="1" x14ac:dyDescent="0.3">
      <c r="A297" s="33"/>
      <c r="B297" s="33"/>
      <c r="C297" s="33"/>
      <c r="D297" s="33"/>
      <c r="E297" s="33"/>
      <c r="F297" s="33"/>
      <c r="G297" s="33"/>
    </row>
    <row r="298" spans="1:7" s="54" customFormat="1" ht="11.4" customHeight="1" x14ac:dyDescent="0.3">
      <c r="A298" s="33"/>
      <c r="B298" s="33"/>
      <c r="C298" s="33"/>
      <c r="D298" s="33"/>
      <c r="E298" s="33"/>
      <c r="F298" s="33"/>
      <c r="G298" s="33"/>
    </row>
    <row r="299" spans="1:7" s="54" customFormat="1" ht="11.4" customHeight="1" x14ac:dyDescent="0.3">
      <c r="A299" s="33"/>
      <c r="B299" s="33"/>
      <c r="C299" s="33"/>
      <c r="D299" s="33"/>
      <c r="E299" s="33"/>
      <c r="F299" s="33"/>
      <c r="G299" s="33"/>
    </row>
    <row r="300" spans="1:7" s="54" customFormat="1" ht="11.4" customHeight="1" x14ac:dyDescent="0.3">
      <c r="A300" s="33"/>
      <c r="B300" s="33"/>
      <c r="C300" s="33"/>
      <c r="D300" s="33"/>
      <c r="E300" s="33"/>
      <c r="F300" s="33"/>
      <c r="G300" s="33"/>
    </row>
    <row r="301" spans="1:7" s="54" customFormat="1" ht="11.4" customHeight="1" x14ac:dyDescent="0.3">
      <c r="A301" s="33"/>
      <c r="B301" s="33"/>
      <c r="C301" s="33"/>
      <c r="D301" s="33"/>
      <c r="E301" s="33"/>
      <c r="F301" s="33"/>
      <c r="G301" s="33"/>
    </row>
    <row r="302" spans="1:7" s="54" customFormat="1" ht="11.4" customHeight="1" x14ac:dyDescent="0.3">
      <c r="A302" s="33"/>
      <c r="B302" s="33"/>
      <c r="C302" s="33"/>
      <c r="D302" s="33"/>
      <c r="E302" s="33"/>
      <c r="F302" s="33"/>
      <c r="G302" s="33"/>
    </row>
    <row r="303" spans="1:7" s="54" customFormat="1" ht="11.4" customHeight="1" x14ac:dyDescent="0.3">
      <c r="A303" s="33"/>
      <c r="B303" s="33"/>
      <c r="C303" s="33"/>
      <c r="D303" s="33"/>
      <c r="E303" s="33"/>
      <c r="F303" s="33"/>
      <c r="G303" s="33"/>
    </row>
    <row r="304" spans="1:7" s="54" customFormat="1" ht="11.4" customHeight="1" x14ac:dyDescent="0.3">
      <c r="A304" s="33"/>
      <c r="B304" s="33"/>
      <c r="C304" s="33"/>
      <c r="D304" s="33"/>
      <c r="E304" s="33"/>
      <c r="F304" s="33"/>
      <c r="G304" s="33"/>
    </row>
    <row r="305" spans="1:7" s="54" customFormat="1" ht="11.4" customHeight="1" x14ac:dyDescent="0.3">
      <c r="A305" s="33"/>
      <c r="B305" s="33"/>
      <c r="C305" s="33"/>
      <c r="D305" s="33"/>
      <c r="E305" s="33"/>
      <c r="F305" s="33"/>
      <c r="G305" s="33"/>
    </row>
    <row r="306" spans="1:7" s="54" customFormat="1" ht="11.4" customHeight="1" x14ac:dyDescent="0.3">
      <c r="A306" s="33"/>
      <c r="B306" s="33"/>
      <c r="C306" s="33"/>
      <c r="D306" s="33"/>
      <c r="E306" s="33"/>
      <c r="F306" s="33"/>
      <c r="G306" s="33"/>
    </row>
    <row r="307" spans="1:7" s="54" customFormat="1" ht="11.4" customHeight="1" x14ac:dyDescent="0.3">
      <c r="A307" s="33"/>
      <c r="B307" s="33"/>
      <c r="C307" s="33"/>
      <c r="D307" s="33"/>
      <c r="E307" s="33"/>
      <c r="F307" s="33"/>
      <c r="G307" s="33"/>
    </row>
    <row r="308" spans="1:7" s="54" customFormat="1" ht="11.4" customHeight="1" x14ac:dyDescent="0.3">
      <c r="A308" s="33"/>
      <c r="B308" s="33"/>
      <c r="C308" s="33"/>
      <c r="D308" s="33"/>
      <c r="E308" s="33"/>
      <c r="F308" s="33"/>
      <c r="G308" s="33"/>
    </row>
    <row r="309" spans="1:7" s="54" customFormat="1" ht="11.4" customHeight="1" x14ac:dyDescent="0.3">
      <c r="A309" s="33"/>
      <c r="B309" s="33"/>
      <c r="C309" s="33"/>
      <c r="D309" s="33"/>
      <c r="E309" s="33"/>
      <c r="F309" s="33"/>
      <c r="G309" s="33"/>
    </row>
    <row r="310" spans="1:7" s="54" customFormat="1" ht="11.4" customHeight="1" x14ac:dyDescent="0.3">
      <c r="A310" s="33"/>
      <c r="B310" s="33"/>
      <c r="C310" s="33"/>
      <c r="D310" s="33"/>
      <c r="E310" s="33"/>
      <c r="F310" s="33"/>
      <c r="G310" s="33"/>
    </row>
    <row r="311" spans="1:7" s="54" customFormat="1" ht="11.4" customHeight="1" x14ac:dyDescent="0.3">
      <c r="A311" s="33"/>
      <c r="B311" s="33"/>
      <c r="C311" s="33"/>
      <c r="D311" s="33"/>
      <c r="E311" s="33"/>
      <c r="F311" s="33"/>
      <c r="G311" s="33"/>
    </row>
    <row r="312" spans="1:7" s="54" customFormat="1" ht="11.4" customHeight="1" x14ac:dyDescent="0.3">
      <c r="A312" s="33"/>
      <c r="B312" s="33"/>
      <c r="C312" s="33"/>
      <c r="D312" s="33"/>
      <c r="E312" s="33"/>
      <c r="F312" s="33"/>
      <c r="G312" s="33"/>
    </row>
    <row r="313" spans="1:7" s="54" customFormat="1" ht="11.4" customHeight="1" x14ac:dyDescent="0.3">
      <c r="A313" s="33"/>
      <c r="B313" s="33"/>
      <c r="C313" s="33"/>
      <c r="D313" s="33"/>
      <c r="E313" s="33"/>
      <c r="F313" s="33"/>
      <c r="G313" s="33"/>
    </row>
    <row r="314" spans="1:7" s="54" customFormat="1" ht="11.4" customHeight="1" x14ac:dyDescent="0.3">
      <c r="A314" s="33"/>
      <c r="B314" s="33"/>
      <c r="C314" s="33"/>
      <c r="D314" s="33"/>
      <c r="E314" s="33"/>
      <c r="F314" s="33"/>
      <c r="G314" s="33"/>
    </row>
    <row r="315" spans="1:7" s="54" customFormat="1" ht="11.4" customHeight="1" x14ac:dyDescent="0.3">
      <c r="A315" s="33"/>
      <c r="B315" s="33"/>
      <c r="C315" s="33"/>
      <c r="D315" s="33"/>
      <c r="E315" s="33"/>
      <c r="F315" s="33"/>
      <c r="G315" s="33"/>
    </row>
    <row r="316" spans="1:7" s="54" customFormat="1" ht="11.4" customHeight="1" x14ac:dyDescent="0.3">
      <c r="A316" s="33"/>
      <c r="B316" s="33"/>
      <c r="C316" s="33"/>
      <c r="D316" s="33"/>
      <c r="E316" s="33"/>
      <c r="F316" s="33"/>
      <c r="G316" s="33"/>
    </row>
    <row r="317" spans="1:7" s="54" customFormat="1" ht="11.4" customHeight="1" x14ac:dyDescent="0.3">
      <c r="A317" s="33"/>
      <c r="B317" s="33"/>
      <c r="C317" s="33"/>
      <c r="D317" s="33"/>
      <c r="E317" s="33"/>
      <c r="F317" s="33"/>
      <c r="G317" s="33"/>
    </row>
    <row r="318" spans="1:7" s="54" customFormat="1" ht="11.4" customHeight="1" x14ac:dyDescent="0.3">
      <c r="A318" s="33"/>
      <c r="B318" s="33"/>
      <c r="C318" s="33"/>
      <c r="D318" s="33"/>
      <c r="E318" s="33"/>
      <c r="F318" s="33"/>
      <c r="G318" s="33"/>
    </row>
    <row r="319" spans="1:7" s="54" customFormat="1" ht="11.4" customHeight="1" x14ac:dyDescent="0.3">
      <c r="A319" s="33"/>
      <c r="B319" s="33"/>
      <c r="C319" s="33"/>
      <c r="D319" s="33"/>
      <c r="E319" s="33"/>
      <c r="F319" s="33"/>
      <c r="G319" s="33"/>
    </row>
    <row r="320" spans="1:7" s="54" customFormat="1" ht="11.4" customHeight="1" x14ac:dyDescent="0.3">
      <c r="A320" s="33"/>
      <c r="B320" s="33"/>
      <c r="C320" s="33"/>
      <c r="D320" s="33"/>
      <c r="E320" s="33"/>
      <c r="F320" s="33"/>
      <c r="G320" s="33"/>
    </row>
    <row r="321" spans="1:7" s="54" customFormat="1" ht="11.4" customHeight="1" x14ac:dyDescent="0.3">
      <c r="A321" s="33"/>
      <c r="B321" s="33"/>
      <c r="C321" s="33"/>
      <c r="D321" s="33"/>
      <c r="E321" s="33"/>
      <c r="F321" s="33"/>
      <c r="G321" s="33"/>
    </row>
    <row r="322" spans="1:7" s="54" customFormat="1" ht="11.4" customHeight="1" x14ac:dyDescent="0.3">
      <c r="A322" s="33"/>
      <c r="B322" s="33"/>
      <c r="C322" s="33"/>
      <c r="D322" s="33"/>
      <c r="E322" s="33"/>
      <c r="F322" s="33"/>
      <c r="G322" s="33"/>
    </row>
    <row r="323" spans="1:7" s="54" customFormat="1" ht="11.4" customHeight="1" x14ac:dyDescent="0.3">
      <c r="A323" s="33"/>
      <c r="B323" s="33"/>
      <c r="C323" s="33"/>
      <c r="D323" s="33"/>
      <c r="E323" s="33"/>
      <c r="F323" s="33"/>
      <c r="G323" s="33"/>
    </row>
    <row r="324" spans="1:7" s="54" customFormat="1" ht="11.4" customHeight="1" x14ac:dyDescent="0.3">
      <c r="A324" s="33"/>
      <c r="B324" s="33"/>
      <c r="C324" s="33"/>
      <c r="D324" s="33"/>
      <c r="E324" s="33"/>
      <c r="F324" s="33"/>
      <c r="G324" s="33"/>
    </row>
    <row r="325" spans="1:7" s="54" customFormat="1" ht="11.4" customHeight="1" x14ac:dyDescent="0.3">
      <c r="A325" s="33"/>
      <c r="B325" s="33"/>
      <c r="C325" s="33"/>
      <c r="D325" s="33"/>
      <c r="E325" s="33"/>
      <c r="F325" s="33"/>
      <c r="G325" s="33"/>
    </row>
    <row r="326" spans="1:7" s="54" customFormat="1" ht="11.4" customHeight="1" x14ac:dyDescent="0.3">
      <c r="A326" s="33"/>
      <c r="B326" s="33"/>
      <c r="C326" s="33"/>
      <c r="D326" s="33"/>
      <c r="E326" s="33"/>
      <c r="F326" s="33"/>
      <c r="G326" s="33"/>
    </row>
    <row r="327" spans="1:7" s="54" customFormat="1" ht="11.4" customHeight="1" x14ac:dyDescent="0.3">
      <c r="A327" s="33"/>
      <c r="B327" s="33"/>
      <c r="C327" s="33"/>
      <c r="D327" s="33"/>
      <c r="E327" s="33"/>
      <c r="F327" s="33"/>
      <c r="G327" s="33"/>
    </row>
    <row r="328" spans="1:7" s="54" customFormat="1" ht="11.4" customHeight="1" x14ac:dyDescent="0.3">
      <c r="A328" s="33"/>
      <c r="B328" s="33"/>
      <c r="C328" s="33"/>
      <c r="D328" s="33"/>
      <c r="E328" s="33"/>
      <c r="F328" s="33"/>
      <c r="G328" s="33"/>
    </row>
    <row r="329" spans="1:7" s="54" customFormat="1" ht="11.4" customHeight="1" x14ac:dyDescent="0.3">
      <c r="A329" s="33"/>
      <c r="B329" s="33"/>
      <c r="C329" s="33"/>
      <c r="D329" s="33"/>
      <c r="E329" s="33"/>
      <c r="F329" s="33"/>
      <c r="G329" s="33"/>
    </row>
    <row r="330" spans="1:7" s="54" customFormat="1" ht="11.4" customHeight="1" x14ac:dyDescent="0.3">
      <c r="A330" s="33"/>
      <c r="B330" s="33"/>
      <c r="C330" s="33"/>
      <c r="D330" s="33"/>
      <c r="E330" s="33"/>
      <c r="F330" s="33"/>
      <c r="G330" s="33"/>
    </row>
    <row r="331" spans="1:7" s="54" customFormat="1" ht="11.4" customHeight="1" x14ac:dyDescent="0.3">
      <c r="A331" s="33"/>
      <c r="B331" s="33"/>
      <c r="C331" s="33"/>
      <c r="D331" s="33"/>
      <c r="E331" s="33"/>
      <c r="F331" s="33"/>
      <c r="G331" s="33"/>
    </row>
    <row r="332" spans="1:7" s="54" customFormat="1" ht="11.4" customHeight="1" x14ac:dyDescent="0.3">
      <c r="A332" s="33"/>
      <c r="B332" s="33"/>
      <c r="C332" s="33"/>
      <c r="D332" s="33"/>
      <c r="E332" s="33"/>
      <c r="F332" s="33"/>
      <c r="G332" s="33"/>
    </row>
    <row r="333" spans="1:7" s="54" customFormat="1" ht="11.4" customHeight="1" x14ac:dyDescent="0.3">
      <c r="A333" s="33"/>
      <c r="B333" s="33"/>
      <c r="C333" s="33"/>
      <c r="D333" s="33"/>
      <c r="E333" s="33"/>
      <c r="F333" s="33"/>
      <c r="G333" s="33"/>
    </row>
    <row r="334" spans="1:7" s="54" customFormat="1" ht="11.4" customHeight="1" x14ac:dyDescent="0.3">
      <c r="A334" s="33"/>
      <c r="B334" s="33"/>
      <c r="C334" s="33"/>
      <c r="D334" s="33"/>
      <c r="E334" s="33"/>
      <c r="F334" s="33"/>
      <c r="G334" s="33"/>
    </row>
    <row r="335" spans="1:7" s="54" customFormat="1" ht="11.4" customHeight="1" x14ac:dyDescent="0.3">
      <c r="A335" s="33"/>
      <c r="B335" s="33"/>
      <c r="C335" s="33"/>
      <c r="D335" s="33"/>
      <c r="E335" s="33"/>
      <c r="F335" s="33"/>
      <c r="G335" s="33"/>
    </row>
    <row r="336" spans="1:7" s="54" customFormat="1" ht="11.4" customHeight="1" x14ac:dyDescent="0.3">
      <c r="A336" s="33"/>
      <c r="B336" s="33"/>
      <c r="C336" s="33"/>
      <c r="D336" s="33"/>
      <c r="E336" s="33"/>
      <c r="F336" s="33"/>
      <c r="G336" s="33"/>
    </row>
    <row r="337" spans="1:7" s="54" customFormat="1" ht="11.4" customHeight="1" x14ac:dyDescent="0.3">
      <c r="A337" s="33"/>
      <c r="B337" s="33"/>
      <c r="C337" s="33"/>
      <c r="D337" s="33"/>
      <c r="E337" s="33"/>
      <c r="F337" s="33"/>
      <c r="G337" s="33"/>
    </row>
    <row r="338" spans="1:7" s="54" customFormat="1" ht="11.4" customHeight="1" x14ac:dyDescent="0.3">
      <c r="A338" s="33"/>
      <c r="B338" s="33"/>
      <c r="C338" s="33"/>
      <c r="D338" s="33"/>
      <c r="E338" s="33"/>
      <c r="F338" s="33"/>
      <c r="G338" s="33"/>
    </row>
    <row r="339" spans="1:7" s="54" customFormat="1" ht="11.4" customHeight="1" x14ac:dyDescent="0.3">
      <c r="A339" s="33"/>
      <c r="B339" s="33"/>
      <c r="C339" s="33"/>
      <c r="D339" s="33"/>
      <c r="E339" s="33"/>
      <c r="F339" s="33"/>
      <c r="G339" s="33"/>
    </row>
    <row r="340" spans="1:7" s="54" customFormat="1" ht="11.4" customHeight="1" x14ac:dyDescent="0.3">
      <c r="A340" s="33"/>
      <c r="B340" s="33"/>
      <c r="C340" s="33"/>
      <c r="D340" s="33"/>
      <c r="E340" s="33"/>
      <c r="F340" s="33"/>
      <c r="G340" s="33"/>
    </row>
    <row r="341" spans="1:7" s="54" customFormat="1" ht="11.4" customHeight="1" x14ac:dyDescent="0.3">
      <c r="A341" s="33"/>
      <c r="B341" s="33"/>
      <c r="C341" s="33"/>
      <c r="D341" s="33"/>
      <c r="E341" s="33"/>
      <c r="F341" s="33"/>
      <c r="G341" s="33"/>
    </row>
    <row r="342" spans="1:7" s="54" customFormat="1" ht="11.4" customHeight="1" x14ac:dyDescent="0.3">
      <c r="A342" s="33"/>
      <c r="B342" s="33"/>
      <c r="C342" s="33"/>
      <c r="D342" s="33"/>
      <c r="E342" s="33"/>
      <c r="F342" s="33"/>
      <c r="G342" s="33"/>
    </row>
    <row r="343" spans="1:7" s="54" customFormat="1" ht="11.4" customHeight="1" x14ac:dyDescent="0.3">
      <c r="A343" s="33"/>
      <c r="B343" s="33"/>
      <c r="C343" s="33"/>
      <c r="D343" s="33"/>
      <c r="E343" s="33"/>
      <c r="F343" s="33"/>
      <c r="G343" s="33"/>
    </row>
    <row r="344" spans="1:7" s="54" customFormat="1" ht="11.4" customHeight="1" x14ac:dyDescent="0.3">
      <c r="A344" s="33"/>
      <c r="B344" s="33"/>
      <c r="C344" s="33"/>
      <c r="D344" s="33"/>
      <c r="E344" s="33"/>
      <c r="F344" s="33"/>
      <c r="G344" s="33"/>
    </row>
    <row r="345" spans="1:7" s="54" customFormat="1" ht="11.4" customHeight="1" x14ac:dyDescent="0.3">
      <c r="A345" s="33"/>
      <c r="B345" s="33"/>
      <c r="C345" s="33"/>
      <c r="D345" s="33"/>
      <c r="E345" s="33"/>
      <c r="F345" s="33"/>
      <c r="G345" s="33"/>
    </row>
    <row r="346" spans="1:7" s="54" customFormat="1" ht="11.4" customHeight="1" x14ac:dyDescent="0.3">
      <c r="A346" s="33"/>
      <c r="B346" s="33"/>
      <c r="C346" s="33"/>
      <c r="D346" s="33"/>
      <c r="E346" s="33"/>
      <c r="F346" s="33"/>
      <c r="G346" s="33"/>
    </row>
    <row r="347" spans="1:7" s="54" customFormat="1" ht="11.4" customHeight="1" x14ac:dyDescent="0.3">
      <c r="A347" s="33"/>
      <c r="B347" s="33"/>
      <c r="C347" s="33"/>
      <c r="D347" s="33"/>
      <c r="E347" s="33"/>
      <c r="F347" s="33"/>
      <c r="G347" s="33"/>
    </row>
    <row r="348" spans="1:7" s="54" customFormat="1" ht="11.4" customHeight="1" x14ac:dyDescent="0.3">
      <c r="A348" s="33"/>
      <c r="B348" s="33"/>
      <c r="C348" s="33"/>
      <c r="D348" s="33"/>
      <c r="E348" s="33"/>
      <c r="F348" s="33"/>
      <c r="G348" s="33"/>
    </row>
    <row r="349" spans="1:7" s="54" customFormat="1" ht="11.4" customHeight="1" x14ac:dyDescent="0.3">
      <c r="A349" s="33"/>
      <c r="B349" s="33"/>
      <c r="C349" s="33"/>
      <c r="D349" s="33"/>
      <c r="E349" s="33"/>
      <c r="F349" s="33"/>
      <c r="G349" s="33"/>
    </row>
    <row r="350" spans="1:7" s="54" customFormat="1" ht="11.4" customHeight="1" x14ac:dyDescent="0.3">
      <c r="A350" s="33"/>
      <c r="B350" s="33"/>
      <c r="C350" s="33"/>
      <c r="D350" s="33"/>
      <c r="E350" s="33"/>
      <c r="F350" s="33"/>
      <c r="G350" s="33"/>
    </row>
    <row r="351" spans="1:7" s="54" customFormat="1" ht="11.4" customHeight="1" x14ac:dyDescent="0.3">
      <c r="A351" s="33"/>
      <c r="B351" s="33"/>
      <c r="C351" s="33"/>
      <c r="D351" s="33"/>
      <c r="E351" s="33"/>
      <c r="F351" s="33"/>
      <c r="G351" s="33"/>
    </row>
    <row r="352" spans="1:7" s="54" customFormat="1" ht="11.4" customHeight="1" x14ac:dyDescent="0.3">
      <c r="A352" s="33"/>
      <c r="B352" s="33"/>
      <c r="C352" s="33"/>
      <c r="D352" s="33"/>
      <c r="E352" s="33"/>
      <c r="F352" s="33"/>
      <c r="G352" s="33"/>
    </row>
    <row r="353" spans="1:7" s="54" customFormat="1" ht="11.4" customHeight="1" x14ac:dyDescent="0.3">
      <c r="A353" s="33"/>
      <c r="B353" s="33"/>
      <c r="C353" s="33"/>
      <c r="D353" s="33"/>
      <c r="E353" s="33"/>
      <c r="F353" s="33"/>
      <c r="G353" s="33"/>
    </row>
    <row r="354" spans="1:7" s="54" customFormat="1" ht="11.4" customHeight="1" x14ac:dyDescent="0.3">
      <c r="A354" s="33"/>
      <c r="B354" s="33"/>
      <c r="C354" s="33"/>
      <c r="D354" s="33"/>
      <c r="E354" s="33"/>
      <c r="F354" s="33"/>
      <c r="G354" s="33"/>
    </row>
    <row r="355" spans="1:7" s="54" customFormat="1" ht="11.4" customHeight="1" x14ac:dyDescent="0.3">
      <c r="A355" s="33"/>
      <c r="B355" s="33"/>
      <c r="C355" s="33"/>
      <c r="D355" s="33"/>
      <c r="E355" s="33"/>
      <c r="F355" s="33"/>
      <c r="G355" s="33"/>
    </row>
    <row r="356" spans="1:7" s="54" customFormat="1" ht="11.4" customHeight="1" x14ac:dyDescent="0.3">
      <c r="A356" s="33"/>
      <c r="B356" s="33"/>
      <c r="C356" s="33"/>
      <c r="D356" s="33"/>
      <c r="E356" s="33"/>
      <c r="F356" s="33"/>
      <c r="G356" s="33"/>
    </row>
    <row r="357" spans="1:7" s="54" customFormat="1" ht="11.4" customHeight="1" x14ac:dyDescent="0.3">
      <c r="A357" s="33"/>
      <c r="B357" s="33"/>
      <c r="C357" s="33"/>
      <c r="D357" s="33"/>
      <c r="E357" s="33"/>
      <c r="F357" s="33"/>
      <c r="G357" s="33"/>
    </row>
    <row r="358" spans="1:7" s="54" customFormat="1" ht="11.4" customHeight="1" x14ac:dyDescent="0.3">
      <c r="A358" s="33"/>
      <c r="B358" s="33"/>
      <c r="C358" s="33"/>
      <c r="D358" s="33"/>
      <c r="E358" s="33"/>
      <c r="F358" s="33"/>
      <c r="G358" s="33"/>
    </row>
    <row r="359" spans="1:7" s="54" customFormat="1" ht="11.4" customHeight="1" x14ac:dyDescent="0.3">
      <c r="A359" s="33"/>
      <c r="B359" s="33"/>
      <c r="C359" s="33"/>
      <c r="D359" s="33"/>
      <c r="E359" s="33"/>
      <c r="F359" s="33"/>
      <c r="G359" s="33"/>
    </row>
    <row r="360" spans="1:7" s="54" customFormat="1" ht="11.4" customHeight="1" x14ac:dyDescent="0.3">
      <c r="A360" s="33"/>
      <c r="B360" s="33"/>
      <c r="C360" s="33"/>
      <c r="D360" s="33"/>
      <c r="E360" s="33"/>
      <c r="F360" s="33"/>
      <c r="G360" s="33"/>
    </row>
    <row r="361" spans="1:7" s="54" customFormat="1" ht="11.4" customHeight="1" x14ac:dyDescent="0.3">
      <c r="A361" s="33"/>
      <c r="B361" s="33"/>
      <c r="C361" s="33"/>
      <c r="D361" s="33"/>
      <c r="E361" s="33"/>
      <c r="F361" s="33"/>
      <c r="G361" s="33"/>
    </row>
    <row r="362" spans="1:7" s="54" customFormat="1" ht="11.4" customHeight="1" x14ac:dyDescent="0.3">
      <c r="A362" s="33"/>
      <c r="B362" s="33"/>
      <c r="C362" s="33"/>
      <c r="D362" s="33"/>
      <c r="E362" s="33"/>
      <c r="F362" s="33"/>
      <c r="G362" s="33"/>
    </row>
    <row r="363" spans="1:7" s="54" customFormat="1" ht="11.4" customHeight="1" x14ac:dyDescent="0.3">
      <c r="A363" s="33"/>
      <c r="B363" s="33"/>
      <c r="C363" s="33"/>
      <c r="D363" s="33"/>
      <c r="E363" s="33"/>
      <c r="F363" s="33"/>
      <c r="G363" s="33"/>
    </row>
    <row r="364" spans="1:7" s="54" customFormat="1" ht="11.4" customHeight="1" x14ac:dyDescent="0.3">
      <c r="A364" s="33"/>
      <c r="B364" s="33"/>
      <c r="C364" s="33"/>
      <c r="D364" s="33"/>
      <c r="E364" s="33"/>
      <c r="F364" s="33"/>
      <c r="G364" s="33"/>
    </row>
    <row r="365" spans="1:7" s="54" customFormat="1" ht="11.4" customHeight="1" x14ac:dyDescent="0.3">
      <c r="A365" s="33"/>
      <c r="B365" s="33"/>
      <c r="C365" s="33"/>
      <c r="D365" s="33"/>
      <c r="E365" s="33"/>
      <c r="F365" s="33"/>
      <c r="G365" s="33"/>
    </row>
    <row r="366" spans="1:7" s="54" customFormat="1" ht="11.4" customHeight="1" x14ac:dyDescent="0.3">
      <c r="A366" s="33"/>
      <c r="B366" s="33"/>
      <c r="C366" s="33"/>
      <c r="D366" s="33"/>
      <c r="E366" s="33"/>
      <c r="F366" s="33"/>
      <c r="G366" s="33"/>
    </row>
    <row r="367" spans="1:7" s="54" customFormat="1" ht="11.4" customHeight="1" x14ac:dyDescent="0.3">
      <c r="A367" s="33"/>
      <c r="B367" s="33"/>
      <c r="C367" s="33"/>
      <c r="D367" s="33"/>
      <c r="E367" s="33"/>
      <c r="F367" s="33"/>
      <c r="G367" s="33"/>
    </row>
    <row r="368" spans="1:7" s="54" customFormat="1" ht="11.4" customHeight="1" x14ac:dyDescent="0.3">
      <c r="A368" s="33"/>
      <c r="B368" s="33"/>
      <c r="C368" s="33"/>
      <c r="D368" s="33"/>
      <c r="E368" s="33"/>
      <c r="F368" s="33"/>
      <c r="G368" s="33"/>
    </row>
    <row r="369" spans="1:7" s="54" customFormat="1" ht="11.4" customHeight="1" x14ac:dyDescent="0.3">
      <c r="A369" s="33"/>
      <c r="B369" s="33"/>
      <c r="C369" s="33"/>
      <c r="D369" s="33"/>
      <c r="E369" s="33"/>
      <c r="F369" s="33"/>
      <c r="G369" s="33"/>
    </row>
    <row r="370" spans="1:7" s="54" customFormat="1" ht="11.4" customHeight="1" x14ac:dyDescent="0.3">
      <c r="A370" s="33"/>
      <c r="B370" s="33"/>
      <c r="C370" s="33"/>
      <c r="D370" s="33"/>
      <c r="E370" s="33"/>
      <c r="F370" s="33"/>
      <c r="G370" s="33"/>
    </row>
    <row r="371" spans="1:7" s="54" customFormat="1" ht="11.4" customHeight="1" x14ac:dyDescent="0.3">
      <c r="A371" s="33"/>
      <c r="B371" s="33"/>
      <c r="C371" s="33"/>
      <c r="D371" s="33"/>
      <c r="E371" s="33"/>
      <c r="F371" s="33"/>
      <c r="G371" s="33"/>
    </row>
    <row r="372" spans="1:7" s="54" customFormat="1" ht="11.4" customHeight="1" x14ac:dyDescent="0.3">
      <c r="A372" s="33"/>
      <c r="B372" s="33"/>
      <c r="C372" s="33"/>
      <c r="D372" s="33"/>
      <c r="E372" s="33"/>
      <c r="F372" s="33"/>
      <c r="G372" s="33"/>
    </row>
    <row r="373" spans="1:7" s="54" customFormat="1" ht="11.4" customHeight="1" x14ac:dyDescent="0.3">
      <c r="A373" s="33"/>
      <c r="B373" s="33"/>
      <c r="C373" s="33"/>
      <c r="D373" s="33"/>
      <c r="E373" s="33"/>
      <c r="F373" s="33"/>
      <c r="G373" s="33"/>
    </row>
    <row r="374" spans="1:7" s="54" customFormat="1" ht="11.4" customHeight="1" x14ac:dyDescent="0.3">
      <c r="A374" s="33"/>
      <c r="B374" s="33"/>
      <c r="C374" s="33"/>
      <c r="D374" s="33"/>
      <c r="E374" s="33"/>
      <c r="F374" s="33"/>
      <c r="G374" s="33"/>
    </row>
    <row r="375" spans="1:7" s="54" customFormat="1" ht="11.4" customHeight="1" x14ac:dyDescent="0.3">
      <c r="A375" s="33"/>
      <c r="B375" s="33"/>
      <c r="C375" s="33"/>
      <c r="D375" s="33"/>
      <c r="E375" s="33"/>
      <c r="F375" s="33"/>
      <c r="G375" s="33"/>
    </row>
    <row r="376" spans="1:7" s="54" customFormat="1" ht="11.4" customHeight="1" x14ac:dyDescent="0.3">
      <c r="A376" s="33"/>
      <c r="B376" s="33"/>
      <c r="C376" s="33"/>
      <c r="D376" s="33"/>
      <c r="E376" s="33"/>
      <c r="F376" s="33"/>
      <c r="G376" s="33"/>
    </row>
    <row r="377" spans="1:7" s="54" customFormat="1" ht="11.4" customHeight="1" x14ac:dyDescent="0.3">
      <c r="A377" s="33"/>
      <c r="B377" s="33"/>
      <c r="C377" s="33"/>
      <c r="D377" s="33"/>
      <c r="E377" s="33"/>
      <c r="F377" s="33"/>
      <c r="G377" s="33"/>
    </row>
    <row r="378" spans="1:7" s="54" customFormat="1" ht="11.4" customHeight="1" x14ac:dyDescent="0.3">
      <c r="A378" s="33"/>
      <c r="B378" s="33"/>
      <c r="C378" s="33"/>
      <c r="D378" s="33"/>
      <c r="E378" s="33"/>
      <c r="F378" s="33"/>
      <c r="G378" s="33"/>
    </row>
    <row r="379" spans="1:7" s="54" customFormat="1" ht="11.4" customHeight="1" x14ac:dyDescent="0.3">
      <c r="A379" s="33"/>
      <c r="B379" s="33"/>
      <c r="C379" s="33"/>
      <c r="D379" s="33"/>
      <c r="E379" s="33"/>
      <c r="F379" s="33"/>
      <c r="G379" s="33"/>
    </row>
    <row r="380" spans="1:7" s="54" customFormat="1" ht="11.4" customHeight="1" x14ac:dyDescent="0.3">
      <c r="A380" s="33"/>
      <c r="B380" s="33"/>
      <c r="C380" s="33"/>
      <c r="D380" s="33"/>
      <c r="E380" s="33"/>
      <c r="F380" s="33"/>
      <c r="G380" s="33"/>
    </row>
    <row r="381" spans="1:7" s="54" customFormat="1" ht="11.4" customHeight="1" x14ac:dyDescent="0.3">
      <c r="A381" s="33"/>
      <c r="B381" s="33"/>
      <c r="C381" s="33"/>
      <c r="D381" s="33"/>
      <c r="E381" s="33"/>
      <c r="F381" s="33"/>
      <c r="G381" s="33"/>
    </row>
    <row r="382" spans="1:7" s="54" customFormat="1" ht="11.4" customHeight="1" x14ac:dyDescent="0.3">
      <c r="A382" s="33"/>
      <c r="B382" s="33"/>
      <c r="C382" s="33"/>
      <c r="D382" s="33"/>
      <c r="E382" s="33"/>
      <c r="F382" s="33"/>
      <c r="G382" s="33"/>
    </row>
    <row r="383" spans="1:7" s="54" customFormat="1" ht="11.4" customHeight="1" x14ac:dyDescent="0.3">
      <c r="A383" s="33"/>
      <c r="B383" s="33"/>
      <c r="C383" s="33"/>
      <c r="D383" s="33"/>
      <c r="E383" s="33"/>
      <c r="F383" s="33"/>
      <c r="G383" s="33"/>
    </row>
    <row r="384" spans="1:7" s="54" customFormat="1" ht="11.4" customHeight="1" x14ac:dyDescent="0.3">
      <c r="A384" s="33"/>
      <c r="B384" s="33"/>
      <c r="C384" s="33"/>
      <c r="D384" s="33"/>
      <c r="E384" s="33"/>
      <c r="F384" s="33"/>
      <c r="G384" s="33"/>
    </row>
    <row r="385" spans="1:7" s="54" customFormat="1" ht="11.4" customHeight="1" x14ac:dyDescent="0.3">
      <c r="A385" s="33"/>
      <c r="B385" s="33"/>
      <c r="C385" s="33"/>
      <c r="D385" s="33"/>
      <c r="E385" s="33"/>
      <c r="F385" s="33"/>
      <c r="G385" s="33"/>
    </row>
    <row r="386" spans="1:7" s="54" customFormat="1" ht="11.4" customHeight="1" x14ac:dyDescent="0.3">
      <c r="A386" s="33"/>
      <c r="B386" s="33"/>
      <c r="C386" s="33"/>
      <c r="D386" s="33"/>
      <c r="E386" s="33"/>
      <c r="F386" s="33"/>
      <c r="G386" s="33"/>
    </row>
    <row r="387" spans="1:7" s="54" customFormat="1" ht="11.4" customHeight="1" x14ac:dyDescent="0.3">
      <c r="A387" s="33"/>
      <c r="B387" s="33"/>
      <c r="C387" s="33"/>
      <c r="D387" s="33"/>
      <c r="E387" s="33"/>
      <c r="F387" s="33"/>
      <c r="G387" s="33"/>
    </row>
    <row r="388" spans="1:7" s="54" customFormat="1" ht="11.4" customHeight="1" x14ac:dyDescent="0.3">
      <c r="A388" s="33"/>
      <c r="B388" s="33"/>
      <c r="C388" s="33"/>
      <c r="D388" s="33"/>
      <c r="E388" s="33"/>
      <c r="F388" s="33"/>
      <c r="G388" s="33"/>
    </row>
    <row r="389" spans="1:7" s="54" customFormat="1" ht="11.4" customHeight="1" x14ac:dyDescent="0.3">
      <c r="A389" s="33"/>
      <c r="B389" s="33"/>
      <c r="C389" s="33"/>
      <c r="D389" s="33"/>
      <c r="E389" s="33"/>
      <c r="F389" s="33"/>
      <c r="G389" s="33"/>
    </row>
    <row r="390" spans="1:7" s="54" customFormat="1" ht="11.4" customHeight="1" x14ac:dyDescent="0.3">
      <c r="A390" s="33"/>
      <c r="B390" s="33"/>
      <c r="C390" s="33"/>
      <c r="D390" s="33"/>
      <c r="E390" s="33"/>
      <c r="F390" s="33"/>
      <c r="G390" s="33"/>
    </row>
    <row r="391" spans="1:7" s="54" customFormat="1" ht="11.4" customHeight="1" x14ac:dyDescent="0.3">
      <c r="A391" s="33"/>
      <c r="B391" s="33"/>
      <c r="C391" s="33"/>
      <c r="D391" s="33"/>
      <c r="E391" s="33"/>
      <c r="F391" s="33"/>
      <c r="G391" s="33"/>
    </row>
    <row r="392" spans="1:7" s="54" customFormat="1" ht="11.4" customHeight="1" x14ac:dyDescent="0.3">
      <c r="A392" s="33"/>
      <c r="B392" s="33"/>
      <c r="C392" s="33"/>
      <c r="D392" s="33"/>
      <c r="E392" s="33"/>
      <c r="F392" s="33"/>
      <c r="G392" s="33"/>
    </row>
    <row r="393" spans="1:7" s="54" customFormat="1" ht="11.4" customHeight="1" x14ac:dyDescent="0.3">
      <c r="A393" s="33"/>
      <c r="B393" s="33"/>
      <c r="C393" s="33"/>
      <c r="D393" s="33"/>
      <c r="E393" s="33"/>
      <c r="F393" s="33"/>
      <c r="G393" s="33"/>
    </row>
    <row r="394" spans="1:7" s="54" customFormat="1" ht="11.4" customHeight="1" x14ac:dyDescent="0.3">
      <c r="A394" s="33"/>
      <c r="B394" s="33"/>
      <c r="C394" s="33"/>
      <c r="D394" s="33"/>
      <c r="E394" s="33"/>
      <c r="F394" s="33"/>
      <c r="G394" s="33"/>
    </row>
    <row r="395" spans="1:7" s="54" customFormat="1" ht="11.4" customHeight="1" x14ac:dyDescent="0.3">
      <c r="A395" s="33"/>
      <c r="B395" s="33"/>
      <c r="C395" s="33"/>
      <c r="D395" s="33"/>
      <c r="E395" s="33"/>
      <c r="F395" s="33"/>
      <c r="G395" s="33"/>
    </row>
    <row r="396" spans="1:7" s="54" customFormat="1" ht="11.4" customHeight="1" x14ac:dyDescent="0.3">
      <c r="A396" s="33"/>
      <c r="B396" s="33"/>
      <c r="C396" s="33"/>
      <c r="D396" s="33"/>
      <c r="E396" s="33"/>
      <c r="F396" s="33"/>
      <c r="G396" s="33"/>
    </row>
    <row r="397" spans="1:7" s="54" customFormat="1" ht="11.4" customHeight="1" x14ac:dyDescent="0.3">
      <c r="A397" s="33"/>
      <c r="B397" s="33"/>
      <c r="C397" s="33"/>
      <c r="D397" s="33"/>
      <c r="E397" s="33"/>
      <c r="F397" s="33"/>
      <c r="G397" s="33"/>
    </row>
    <row r="398" spans="1:7" s="54" customFormat="1" ht="11.4" customHeight="1" x14ac:dyDescent="0.3">
      <c r="A398" s="33"/>
      <c r="B398" s="33"/>
      <c r="C398" s="33"/>
      <c r="D398" s="33"/>
      <c r="E398" s="33"/>
      <c r="F398" s="33"/>
      <c r="G398" s="33"/>
    </row>
    <row r="399" spans="1:7" s="54" customFormat="1" ht="11.4" customHeight="1" x14ac:dyDescent="0.3">
      <c r="A399" s="33"/>
      <c r="B399" s="33"/>
      <c r="C399" s="33"/>
      <c r="D399" s="33"/>
      <c r="E399" s="33"/>
      <c r="F399" s="33"/>
      <c r="G399" s="33"/>
    </row>
    <row r="400" spans="1:7" s="54" customFormat="1" ht="11.4" customHeight="1" x14ac:dyDescent="0.3">
      <c r="A400" s="33"/>
      <c r="B400" s="33"/>
      <c r="C400" s="33"/>
      <c r="D400" s="33"/>
      <c r="E400" s="33"/>
      <c r="F400" s="33"/>
      <c r="G400" s="33"/>
    </row>
    <row r="401" spans="1:7" s="54" customFormat="1" ht="11.4" customHeight="1" x14ac:dyDescent="0.3">
      <c r="A401" s="33"/>
      <c r="B401" s="33"/>
      <c r="C401" s="33"/>
      <c r="D401" s="33"/>
      <c r="E401" s="33"/>
      <c r="F401" s="33"/>
      <c r="G401" s="33"/>
    </row>
    <row r="402" spans="1:7" s="54" customFormat="1" ht="11.4" customHeight="1" x14ac:dyDescent="0.3">
      <c r="A402" s="33"/>
      <c r="B402" s="33"/>
      <c r="C402" s="33"/>
      <c r="D402" s="33"/>
      <c r="E402" s="33"/>
      <c r="F402" s="33"/>
      <c r="G402" s="33"/>
    </row>
    <row r="403" spans="1:7" s="54" customFormat="1" ht="11.4" customHeight="1" x14ac:dyDescent="0.3">
      <c r="A403" s="33"/>
      <c r="B403" s="33"/>
      <c r="C403" s="33"/>
      <c r="D403" s="33"/>
      <c r="E403" s="33"/>
      <c r="F403" s="33"/>
      <c r="G403" s="33"/>
    </row>
    <row r="404" spans="1:7" s="54" customFormat="1" ht="11.4" customHeight="1" x14ac:dyDescent="0.3">
      <c r="A404" s="33"/>
      <c r="B404" s="33"/>
      <c r="C404" s="33"/>
      <c r="D404" s="33"/>
      <c r="E404" s="33"/>
      <c r="F404" s="33"/>
      <c r="G404" s="33"/>
    </row>
    <row r="405" spans="1:7" s="54" customFormat="1" ht="11.4" customHeight="1" x14ac:dyDescent="0.3">
      <c r="A405" s="33"/>
      <c r="B405" s="33"/>
      <c r="C405" s="33"/>
      <c r="D405" s="33"/>
      <c r="E405" s="33"/>
      <c r="F405" s="33"/>
      <c r="G405" s="33"/>
    </row>
    <row r="406" spans="1:7" s="54" customFormat="1" ht="11.4" customHeight="1" x14ac:dyDescent="0.3">
      <c r="A406" s="33"/>
      <c r="B406" s="33"/>
      <c r="C406" s="33"/>
      <c r="D406" s="33"/>
      <c r="E406" s="33"/>
      <c r="F406" s="33"/>
      <c r="G406" s="33"/>
    </row>
    <row r="407" spans="1:7" s="54" customFormat="1" ht="11.4" customHeight="1" x14ac:dyDescent="0.3">
      <c r="A407" s="33"/>
      <c r="B407" s="33"/>
      <c r="C407" s="33"/>
      <c r="D407" s="33"/>
      <c r="E407" s="33"/>
      <c r="F407" s="33"/>
      <c r="G407" s="33"/>
    </row>
    <row r="408" spans="1:7" s="54" customFormat="1" ht="11.4" customHeight="1" x14ac:dyDescent="0.3">
      <c r="A408" s="33"/>
      <c r="B408" s="33"/>
      <c r="C408" s="33"/>
      <c r="D408" s="33"/>
      <c r="E408" s="33"/>
      <c r="F408" s="33"/>
      <c r="G408" s="33"/>
    </row>
    <row r="409" spans="1:7" s="54" customFormat="1" ht="11.4" customHeight="1" x14ac:dyDescent="0.3">
      <c r="A409" s="33"/>
      <c r="B409" s="33"/>
      <c r="C409" s="33"/>
      <c r="D409" s="33"/>
      <c r="E409" s="33"/>
      <c r="F409" s="33"/>
      <c r="G409" s="33"/>
    </row>
    <row r="410" spans="1:7" s="54" customFormat="1" ht="11.4" customHeight="1" x14ac:dyDescent="0.3">
      <c r="A410" s="33"/>
      <c r="B410" s="33"/>
      <c r="C410" s="33"/>
      <c r="D410" s="33"/>
      <c r="E410" s="33"/>
      <c r="F410" s="33"/>
      <c r="G410" s="33"/>
    </row>
    <row r="411" spans="1:7" s="54" customFormat="1" ht="11.4" customHeight="1" x14ac:dyDescent="0.3">
      <c r="A411" s="33"/>
      <c r="B411" s="33"/>
      <c r="C411" s="33"/>
      <c r="D411" s="33"/>
      <c r="E411" s="33"/>
      <c r="F411" s="33"/>
      <c r="G411" s="33"/>
    </row>
    <row r="412" spans="1:7" s="54" customFormat="1" ht="11.4" customHeight="1" x14ac:dyDescent="0.3">
      <c r="A412" s="33"/>
      <c r="B412" s="33"/>
      <c r="C412" s="33"/>
      <c r="D412" s="33"/>
      <c r="E412" s="33"/>
      <c r="F412" s="33"/>
      <c r="G412" s="33"/>
    </row>
    <row r="413" spans="1:7" s="54" customFormat="1" ht="11.4" customHeight="1" x14ac:dyDescent="0.3">
      <c r="A413" s="33"/>
      <c r="B413" s="33"/>
      <c r="C413" s="33"/>
      <c r="D413" s="33"/>
      <c r="E413" s="33"/>
      <c r="F413" s="33"/>
      <c r="G413" s="33"/>
    </row>
    <row r="414" spans="1:7" s="54" customFormat="1" ht="11.4" customHeight="1" x14ac:dyDescent="0.3">
      <c r="A414" s="33"/>
      <c r="B414" s="33"/>
      <c r="C414" s="33"/>
      <c r="D414" s="33"/>
      <c r="E414" s="33"/>
      <c r="F414" s="33"/>
      <c r="G414" s="33"/>
    </row>
    <row r="415" spans="1:7" s="54" customFormat="1" ht="11.4" customHeight="1" x14ac:dyDescent="0.3">
      <c r="A415" s="33"/>
      <c r="B415" s="33"/>
      <c r="C415" s="33"/>
      <c r="D415" s="33"/>
      <c r="E415" s="33"/>
      <c r="F415" s="33"/>
      <c r="G415" s="33"/>
    </row>
    <row r="416" spans="1:7" s="54" customFormat="1" ht="11.4" customHeight="1" x14ac:dyDescent="0.3">
      <c r="A416" s="33"/>
      <c r="B416" s="33"/>
      <c r="C416" s="33"/>
      <c r="D416" s="33"/>
      <c r="E416" s="33"/>
      <c r="F416" s="33"/>
      <c r="G416" s="33"/>
    </row>
    <row r="417" spans="1:7" s="54" customFormat="1" ht="11.4" customHeight="1" x14ac:dyDescent="0.3">
      <c r="A417" s="33"/>
      <c r="B417" s="33"/>
      <c r="C417" s="33"/>
      <c r="D417" s="33"/>
      <c r="E417" s="33"/>
      <c r="F417" s="33"/>
      <c r="G417" s="33"/>
    </row>
    <row r="418" spans="1:7" s="54" customFormat="1" ht="11.4" customHeight="1" x14ac:dyDescent="0.3">
      <c r="A418" s="33"/>
      <c r="B418" s="33"/>
      <c r="C418" s="33"/>
      <c r="D418" s="33"/>
      <c r="E418" s="33"/>
      <c r="F418" s="33"/>
      <c r="G418" s="33"/>
    </row>
    <row r="419" spans="1:7" s="54" customFormat="1" ht="11.4" customHeight="1" x14ac:dyDescent="0.3">
      <c r="A419" s="33"/>
      <c r="B419" s="33"/>
      <c r="C419" s="33"/>
      <c r="D419" s="33"/>
      <c r="E419" s="33"/>
      <c r="F419" s="33"/>
      <c r="G419" s="33"/>
    </row>
    <row r="420" spans="1:7" s="54" customFormat="1" ht="11.4" customHeight="1" x14ac:dyDescent="0.3">
      <c r="A420" s="33"/>
      <c r="B420" s="33"/>
      <c r="C420" s="33"/>
      <c r="D420" s="33"/>
      <c r="E420" s="33"/>
      <c r="F420" s="33"/>
      <c r="G420" s="33"/>
    </row>
    <row r="421" spans="1:7" s="54" customFormat="1" ht="11.4" customHeight="1" x14ac:dyDescent="0.3">
      <c r="A421" s="33"/>
      <c r="B421" s="33"/>
      <c r="C421" s="33"/>
      <c r="D421" s="33"/>
      <c r="E421" s="33"/>
      <c r="F421" s="33"/>
      <c r="G421" s="33"/>
    </row>
    <row r="422" spans="1:7" s="54" customFormat="1" ht="11.4" customHeight="1" x14ac:dyDescent="0.3">
      <c r="A422" s="33"/>
      <c r="B422" s="33"/>
      <c r="C422" s="33"/>
      <c r="D422" s="33"/>
      <c r="E422" s="33"/>
      <c r="F422" s="33"/>
      <c r="G422" s="33"/>
    </row>
    <row r="423" spans="1:7" s="54" customFormat="1" ht="11.4" customHeight="1" x14ac:dyDescent="0.3">
      <c r="A423" s="33"/>
      <c r="B423" s="33"/>
      <c r="C423" s="33"/>
      <c r="D423" s="33"/>
      <c r="E423" s="33"/>
      <c r="F423" s="33"/>
      <c r="G423" s="33"/>
    </row>
    <row r="424" spans="1:7" s="54" customFormat="1" ht="11.4" customHeight="1" x14ac:dyDescent="0.3">
      <c r="A424" s="33"/>
      <c r="B424" s="33"/>
      <c r="C424" s="33"/>
      <c r="D424" s="33"/>
      <c r="E424" s="33"/>
      <c r="F424" s="33"/>
      <c r="G424" s="33"/>
    </row>
    <row r="425" spans="1:7" s="54" customFormat="1" ht="11.4" customHeight="1" x14ac:dyDescent="0.3">
      <c r="A425" s="33"/>
      <c r="B425" s="33"/>
      <c r="C425" s="33"/>
      <c r="D425" s="33"/>
      <c r="E425" s="33"/>
      <c r="F425" s="33"/>
      <c r="G425" s="33"/>
    </row>
    <row r="426" spans="1:7" s="54" customFormat="1" ht="11.4" customHeight="1" x14ac:dyDescent="0.3">
      <c r="A426" s="33"/>
      <c r="B426" s="33"/>
      <c r="C426" s="33"/>
      <c r="D426" s="33"/>
      <c r="E426" s="33"/>
      <c r="F426" s="33"/>
      <c r="G426" s="33"/>
    </row>
    <row r="427" spans="1:7" s="54" customFormat="1" ht="11.4" customHeight="1" x14ac:dyDescent="0.3">
      <c r="A427" s="33"/>
      <c r="B427" s="33"/>
      <c r="C427" s="33"/>
      <c r="D427" s="33"/>
      <c r="E427" s="33"/>
      <c r="F427" s="33"/>
      <c r="G427" s="33"/>
    </row>
    <row r="428" spans="1:7" s="54" customFormat="1" ht="11.4" customHeight="1" x14ac:dyDescent="0.3">
      <c r="A428" s="33"/>
      <c r="B428" s="33"/>
      <c r="C428" s="33"/>
      <c r="D428" s="33"/>
      <c r="E428" s="33"/>
      <c r="F428" s="33"/>
      <c r="G428" s="33"/>
    </row>
    <row r="429" spans="1:7" s="54" customFormat="1" ht="11.4" customHeight="1" x14ac:dyDescent="0.3">
      <c r="A429" s="33"/>
      <c r="B429" s="33"/>
      <c r="C429" s="33"/>
      <c r="D429" s="33"/>
      <c r="E429" s="33"/>
      <c r="F429" s="33"/>
      <c r="G429" s="33"/>
    </row>
    <row r="430" spans="1:7" s="54" customFormat="1" ht="11.4" customHeight="1" x14ac:dyDescent="0.3">
      <c r="A430" s="33"/>
      <c r="B430" s="33"/>
      <c r="C430" s="33"/>
      <c r="D430" s="33"/>
      <c r="E430" s="33"/>
      <c r="F430" s="33"/>
      <c r="G430" s="33"/>
    </row>
    <row r="431" spans="1:7" s="54" customFormat="1" ht="11.4" customHeight="1" x14ac:dyDescent="0.3">
      <c r="A431" s="33"/>
      <c r="B431" s="33"/>
      <c r="C431" s="33"/>
      <c r="D431" s="33"/>
      <c r="E431" s="33"/>
      <c r="F431" s="33"/>
      <c r="G431" s="33"/>
    </row>
    <row r="432" spans="1:7" s="54" customFormat="1" ht="11.4" customHeight="1" x14ac:dyDescent="0.3">
      <c r="A432" s="33"/>
      <c r="B432" s="33"/>
      <c r="C432" s="33"/>
      <c r="D432" s="33"/>
      <c r="E432" s="33"/>
      <c r="F432" s="33"/>
      <c r="G432" s="33"/>
    </row>
    <row r="433" spans="1:7" s="54" customFormat="1" ht="11.4" customHeight="1" x14ac:dyDescent="0.3">
      <c r="A433" s="33"/>
      <c r="B433" s="33"/>
      <c r="C433" s="33"/>
      <c r="D433" s="33"/>
      <c r="E433" s="33"/>
      <c r="F433" s="33"/>
      <c r="G433" s="33"/>
    </row>
    <row r="434" spans="1:7" s="54" customFormat="1" ht="11.4" customHeight="1" x14ac:dyDescent="0.3">
      <c r="A434" s="33"/>
      <c r="B434" s="33"/>
      <c r="C434" s="33"/>
      <c r="D434" s="33"/>
      <c r="E434" s="33"/>
      <c r="F434" s="33"/>
      <c r="G434" s="33"/>
    </row>
    <row r="435" spans="1:7" s="54" customFormat="1" ht="11.4" customHeight="1" x14ac:dyDescent="0.3">
      <c r="A435" s="33"/>
      <c r="B435" s="33"/>
      <c r="C435" s="33"/>
      <c r="D435" s="33"/>
      <c r="E435" s="33"/>
      <c r="F435" s="33"/>
      <c r="G435" s="33"/>
    </row>
    <row r="436" spans="1:7" s="54" customFormat="1" ht="11.4" customHeight="1" x14ac:dyDescent="0.3">
      <c r="A436" s="33"/>
      <c r="B436" s="33"/>
      <c r="C436" s="33"/>
      <c r="D436" s="33"/>
      <c r="E436" s="33"/>
      <c r="F436" s="33"/>
      <c r="G436" s="33"/>
    </row>
    <row r="437" spans="1:7" s="54" customFormat="1" ht="11.4" customHeight="1" x14ac:dyDescent="0.3">
      <c r="A437" s="33"/>
      <c r="B437" s="33"/>
      <c r="C437" s="33"/>
      <c r="D437" s="33"/>
      <c r="E437" s="33"/>
      <c r="F437" s="33"/>
      <c r="G437" s="33"/>
    </row>
    <row r="438" spans="1:7" s="54" customFormat="1" ht="11.4" customHeight="1" x14ac:dyDescent="0.3">
      <c r="A438" s="33"/>
      <c r="B438" s="33"/>
      <c r="C438" s="33"/>
      <c r="D438" s="33"/>
      <c r="E438" s="33"/>
      <c r="F438" s="33"/>
      <c r="G438" s="33"/>
    </row>
    <row r="439" spans="1:7" s="54" customFormat="1" ht="11.4" customHeight="1" x14ac:dyDescent="0.3">
      <c r="A439" s="33"/>
      <c r="B439" s="33"/>
      <c r="C439" s="33"/>
      <c r="D439" s="33"/>
      <c r="E439" s="33"/>
      <c r="F439" s="33"/>
      <c r="G439" s="33"/>
    </row>
    <row r="440" spans="1:7" s="54" customFormat="1" ht="11.4" customHeight="1" x14ac:dyDescent="0.3">
      <c r="A440" s="33"/>
      <c r="B440" s="33"/>
      <c r="C440" s="33"/>
      <c r="D440" s="33"/>
      <c r="E440" s="33"/>
      <c r="F440" s="33"/>
      <c r="G440" s="33"/>
    </row>
    <row r="441" spans="1:7" s="54" customFormat="1" ht="11.4" customHeight="1" x14ac:dyDescent="0.3">
      <c r="A441" s="33"/>
      <c r="B441" s="33"/>
      <c r="C441" s="33"/>
      <c r="D441" s="33"/>
      <c r="E441" s="33"/>
      <c r="F441" s="33"/>
      <c r="G441" s="33"/>
    </row>
    <row r="442" spans="1:7" s="54" customFormat="1" ht="11.4" customHeight="1" x14ac:dyDescent="0.3">
      <c r="A442" s="33"/>
      <c r="B442" s="33"/>
      <c r="C442" s="33"/>
      <c r="D442" s="33"/>
      <c r="E442" s="33"/>
      <c r="F442" s="33"/>
      <c r="G442" s="33"/>
    </row>
    <row r="443" spans="1:7" s="54" customFormat="1" ht="11.4" customHeight="1" x14ac:dyDescent="0.3">
      <c r="A443" s="33"/>
      <c r="B443" s="33"/>
      <c r="C443" s="33"/>
      <c r="D443" s="33"/>
      <c r="E443" s="33"/>
      <c r="F443" s="33"/>
      <c r="G443" s="33"/>
    </row>
    <row r="444" spans="1:7" s="54" customFormat="1" ht="11.4" customHeight="1" x14ac:dyDescent="0.3">
      <c r="A444" s="33"/>
      <c r="B444" s="33"/>
      <c r="C444" s="33"/>
      <c r="D444" s="33"/>
      <c r="E444" s="33"/>
      <c r="F444" s="33"/>
      <c r="G444" s="33"/>
    </row>
    <row r="445" spans="1:7" s="54" customFormat="1" ht="11.4" customHeight="1" x14ac:dyDescent="0.3">
      <c r="A445" s="33"/>
      <c r="B445" s="33"/>
      <c r="C445" s="33"/>
      <c r="D445" s="33"/>
      <c r="E445" s="33"/>
      <c r="F445" s="33"/>
      <c r="G445" s="33"/>
    </row>
    <row r="446" spans="1:7" s="54" customFormat="1" ht="11.4" customHeight="1" x14ac:dyDescent="0.3">
      <c r="A446" s="33"/>
      <c r="B446" s="33"/>
      <c r="C446" s="33"/>
      <c r="D446" s="33"/>
      <c r="E446" s="33"/>
      <c r="F446" s="33"/>
      <c r="G446" s="33"/>
    </row>
    <row r="447" spans="1:7" s="54" customFormat="1" ht="11.4" customHeight="1" x14ac:dyDescent="0.3">
      <c r="A447" s="33"/>
      <c r="B447" s="33"/>
      <c r="C447" s="33"/>
      <c r="D447" s="33"/>
      <c r="E447" s="33"/>
      <c r="F447" s="33"/>
      <c r="G447" s="33"/>
    </row>
    <row r="448" spans="1:7" s="54" customFormat="1" ht="11.4" customHeight="1" x14ac:dyDescent="0.3">
      <c r="A448" s="33"/>
      <c r="B448" s="33"/>
      <c r="C448" s="33"/>
      <c r="D448" s="33"/>
      <c r="E448" s="33"/>
      <c r="F448" s="33"/>
      <c r="G448" s="33"/>
    </row>
    <row r="449" spans="1:7" s="54" customFormat="1" ht="11.4" customHeight="1" x14ac:dyDescent="0.3">
      <c r="A449" s="33"/>
      <c r="B449" s="33"/>
      <c r="C449" s="33"/>
      <c r="D449" s="33"/>
      <c r="E449" s="33"/>
      <c r="F449" s="33"/>
      <c r="G449" s="33"/>
    </row>
    <row r="450" spans="1:7" s="54" customFormat="1" ht="11.4" customHeight="1" x14ac:dyDescent="0.3">
      <c r="A450" s="33"/>
      <c r="B450" s="33"/>
      <c r="C450" s="33"/>
      <c r="D450" s="33"/>
      <c r="E450" s="33"/>
      <c r="F450" s="33"/>
      <c r="G450" s="33"/>
    </row>
    <row r="451" spans="1:7" s="54" customFormat="1" ht="11.4" customHeight="1" x14ac:dyDescent="0.3">
      <c r="A451" s="33"/>
      <c r="B451" s="33"/>
      <c r="C451" s="33"/>
      <c r="D451" s="33"/>
      <c r="E451" s="33"/>
      <c r="F451" s="33"/>
      <c r="G451" s="33"/>
    </row>
    <row r="452" spans="1:7" s="54" customFormat="1" ht="11.4" customHeight="1" x14ac:dyDescent="0.3">
      <c r="A452" s="33"/>
      <c r="B452" s="33"/>
      <c r="C452" s="33"/>
      <c r="D452" s="33"/>
      <c r="E452" s="33"/>
      <c r="F452" s="33"/>
      <c r="G452" s="33"/>
    </row>
    <row r="453" spans="1:7" s="54" customFormat="1" ht="11.4" customHeight="1" x14ac:dyDescent="0.3">
      <c r="A453" s="33"/>
      <c r="B453" s="33"/>
      <c r="C453" s="33"/>
      <c r="D453" s="33"/>
      <c r="E453" s="33"/>
      <c r="F453" s="33"/>
      <c r="G453" s="33"/>
    </row>
    <row r="454" spans="1:7" s="54" customFormat="1" ht="11.4" customHeight="1" x14ac:dyDescent="0.3">
      <c r="A454" s="33"/>
      <c r="B454" s="33"/>
      <c r="C454" s="33"/>
      <c r="D454" s="33"/>
      <c r="E454" s="33"/>
      <c r="F454" s="33"/>
      <c r="G454" s="33"/>
    </row>
    <row r="455" spans="1:7" s="54" customFormat="1" ht="11.4" customHeight="1" x14ac:dyDescent="0.3">
      <c r="A455" s="33"/>
      <c r="B455" s="33"/>
      <c r="C455" s="33"/>
      <c r="D455" s="33"/>
      <c r="E455" s="33"/>
      <c r="F455" s="33"/>
      <c r="G455" s="33"/>
    </row>
    <row r="456" spans="1:7" s="54" customFormat="1" ht="11.4" customHeight="1" x14ac:dyDescent="0.3">
      <c r="A456" s="33"/>
      <c r="B456" s="33"/>
      <c r="C456" s="33"/>
      <c r="D456" s="33"/>
      <c r="E456" s="33"/>
      <c r="F456" s="33"/>
      <c r="G456" s="33"/>
    </row>
    <row r="457" spans="1:7" s="54" customFormat="1" ht="11.4" customHeight="1" x14ac:dyDescent="0.3">
      <c r="A457" s="33"/>
      <c r="B457" s="33"/>
      <c r="C457" s="33"/>
      <c r="D457" s="33"/>
      <c r="E457" s="33"/>
      <c r="F457" s="33"/>
      <c r="G457" s="33"/>
    </row>
    <row r="458" spans="1:7" s="54" customFormat="1" ht="11.4" customHeight="1" x14ac:dyDescent="0.3">
      <c r="A458" s="33"/>
      <c r="B458" s="33"/>
      <c r="C458" s="33"/>
      <c r="D458" s="33"/>
      <c r="E458" s="33"/>
      <c r="F458" s="33"/>
      <c r="G458" s="33"/>
    </row>
    <row r="459" spans="1:7" s="54" customFormat="1" ht="11.4" customHeight="1" x14ac:dyDescent="0.3">
      <c r="A459" s="33"/>
      <c r="B459" s="33"/>
      <c r="C459" s="33"/>
      <c r="D459" s="33"/>
      <c r="E459" s="33"/>
      <c r="F459" s="33"/>
      <c r="G459" s="33"/>
    </row>
    <row r="460" spans="1:7" s="54" customFormat="1" ht="11.4" customHeight="1" x14ac:dyDescent="0.3">
      <c r="A460" s="33"/>
      <c r="B460" s="33"/>
      <c r="C460" s="33"/>
      <c r="D460" s="33"/>
      <c r="E460" s="33"/>
      <c r="F460" s="33"/>
      <c r="G460" s="33"/>
    </row>
    <row r="461" spans="1:7" s="54" customFormat="1" ht="11.4" customHeight="1" x14ac:dyDescent="0.3">
      <c r="A461" s="33"/>
      <c r="B461" s="33"/>
      <c r="C461" s="33"/>
      <c r="D461" s="33"/>
      <c r="E461" s="33"/>
      <c r="F461" s="33"/>
      <c r="G461" s="33"/>
    </row>
    <row r="462" spans="1:7" s="54" customFormat="1" ht="11.4" customHeight="1" x14ac:dyDescent="0.3">
      <c r="A462" s="33"/>
      <c r="B462" s="33"/>
      <c r="C462" s="33"/>
      <c r="D462" s="33"/>
      <c r="E462" s="33"/>
      <c r="F462" s="33"/>
      <c r="G462" s="33"/>
    </row>
    <row r="463" spans="1:7" s="54" customFormat="1" ht="11.4" customHeight="1" x14ac:dyDescent="0.3">
      <c r="A463" s="33"/>
      <c r="B463" s="33"/>
      <c r="C463" s="33"/>
      <c r="D463" s="33"/>
      <c r="E463" s="33"/>
      <c r="F463" s="33"/>
      <c r="G463" s="33"/>
    </row>
    <row r="464" spans="1:7" s="54" customFormat="1" ht="11.4" customHeight="1" x14ac:dyDescent="0.3">
      <c r="A464" s="33"/>
      <c r="B464" s="33"/>
      <c r="C464" s="33"/>
      <c r="D464" s="33"/>
      <c r="E464" s="33"/>
      <c r="F464" s="33"/>
      <c r="G464" s="33"/>
    </row>
    <row r="465" spans="1:7" s="54" customFormat="1" ht="11.4" customHeight="1" x14ac:dyDescent="0.3">
      <c r="A465" s="33"/>
      <c r="B465" s="33"/>
      <c r="C465" s="33"/>
      <c r="D465" s="33"/>
      <c r="E465" s="33"/>
      <c r="F465" s="33"/>
      <c r="G465" s="33"/>
    </row>
    <row r="466" spans="1:7" s="54" customFormat="1" ht="11.4" customHeight="1" x14ac:dyDescent="0.3">
      <c r="A466" s="33"/>
      <c r="B466" s="33"/>
      <c r="C466" s="33"/>
      <c r="D466" s="33"/>
      <c r="E466" s="33"/>
      <c r="F466" s="33"/>
      <c r="G466" s="33"/>
    </row>
    <row r="467" spans="1:7" s="54" customFormat="1" ht="11.4" customHeight="1" x14ac:dyDescent="0.3">
      <c r="A467" s="33"/>
      <c r="B467" s="33"/>
      <c r="C467" s="33"/>
      <c r="D467" s="33"/>
      <c r="E467" s="33"/>
      <c r="F467" s="33"/>
      <c r="G467" s="33"/>
    </row>
    <row r="468" spans="1:7" s="54" customFormat="1" ht="11.4" customHeight="1" x14ac:dyDescent="0.3">
      <c r="A468" s="33"/>
      <c r="B468" s="33"/>
      <c r="C468" s="33"/>
      <c r="D468" s="33"/>
      <c r="E468" s="33"/>
      <c r="F468" s="33"/>
      <c r="G468" s="33"/>
    </row>
    <row r="469" spans="1:7" s="54" customFormat="1" ht="11.4" customHeight="1" x14ac:dyDescent="0.3">
      <c r="A469" s="33"/>
      <c r="B469" s="33"/>
      <c r="C469" s="33"/>
      <c r="D469" s="33"/>
      <c r="E469" s="33"/>
      <c r="F469" s="33"/>
      <c r="G469" s="33"/>
    </row>
    <row r="470" spans="1:7" s="54" customFormat="1" ht="11.4" customHeight="1" x14ac:dyDescent="0.3">
      <c r="A470" s="33"/>
      <c r="B470" s="33"/>
      <c r="C470" s="33"/>
      <c r="D470" s="33"/>
      <c r="E470" s="33"/>
      <c r="F470" s="33"/>
      <c r="G470" s="33"/>
    </row>
    <row r="471" spans="1:7" s="54" customFormat="1" ht="11.4" customHeight="1" x14ac:dyDescent="0.3">
      <c r="A471" s="33"/>
      <c r="B471" s="33"/>
      <c r="C471" s="33"/>
      <c r="D471" s="33"/>
      <c r="E471" s="33"/>
      <c r="F471" s="33"/>
      <c r="G471" s="33"/>
    </row>
    <row r="472" spans="1:7" s="54" customFormat="1" ht="11.4" customHeight="1" x14ac:dyDescent="0.3">
      <c r="A472" s="33"/>
      <c r="B472" s="33"/>
      <c r="C472" s="33"/>
      <c r="D472" s="33"/>
      <c r="E472" s="33"/>
      <c r="F472" s="33"/>
      <c r="G472" s="33"/>
    </row>
    <row r="473" spans="1:7" s="54" customFormat="1" ht="11.4" customHeight="1" x14ac:dyDescent="0.3">
      <c r="A473" s="33"/>
      <c r="B473" s="33"/>
      <c r="C473" s="33"/>
      <c r="D473" s="33"/>
      <c r="E473" s="33"/>
      <c r="F473" s="33"/>
      <c r="G473" s="33"/>
    </row>
    <row r="474" spans="1:7" s="54" customFormat="1" ht="11.4" customHeight="1" x14ac:dyDescent="0.3">
      <c r="A474" s="33"/>
      <c r="B474" s="33"/>
      <c r="C474" s="33"/>
      <c r="D474" s="33"/>
      <c r="E474" s="33"/>
      <c r="F474" s="33"/>
      <c r="G474" s="33"/>
    </row>
    <row r="475" spans="1:7" s="54" customFormat="1" ht="11.4" customHeight="1" x14ac:dyDescent="0.3">
      <c r="A475" s="33"/>
      <c r="B475" s="33"/>
      <c r="C475" s="33"/>
      <c r="D475" s="33"/>
      <c r="E475" s="33"/>
      <c r="F475" s="33"/>
      <c r="G475" s="33"/>
    </row>
    <row r="476" spans="1:7" s="54" customFormat="1" ht="11.4" customHeight="1" x14ac:dyDescent="0.3">
      <c r="A476" s="33"/>
      <c r="B476" s="33"/>
      <c r="C476" s="33"/>
      <c r="D476" s="33"/>
      <c r="E476" s="33"/>
      <c r="F476" s="33"/>
      <c r="G476" s="33"/>
    </row>
    <row r="477" spans="1:7" s="54" customFormat="1" ht="11.4" customHeight="1" x14ac:dyDescent="0.3">
      <c r="A477" s="33"/>
      <c r="B477" s="33"/>
      <c r="C477" s="33"/>
      <c r="D477" s="33"/>
      <c r="E477" s="33"/>
      <c r="F477" s="33"/>
      <c r="G477" s="33"/>
    </row>
    <row r="478" spans="1:7" s="54" customFormat="1" ht="11.4" customHeight="1" x14ac:dyDescent="0.3">
      <c r="A478" s="33"/>
      <c r="B478" s="33"/>
      <c r="C478" s="33"/>
      <c r="D478" s="33"/>
      <c r="E478" s="33"/>
      <c r="F478" s="33"/>
      <c r="G478" s="33"/>
    </row>
    <row r="479" spans="1:7" s="54" customFormat="1" ht="11.4" customHeight="1" x14ac:dyDescent="0.3">
      <c r="A479" s="33"/>
      <c r="B479" s="33"/>
      <c r="C479" s="33"/>
      <c r="D479" s="33"/>
      <c r="E479" s="33"/>
      <c r="F479" s="33"/>
      <c r="G479" s="33"/>
    </row>
    <row r="480" spans="1:7" s="54" customFormat="1" ht="11.4" customHeight="1" x14ac:dyDescent="0.3">
      <c r="A480" s="33"/>
      <c r="B480" s="33"/>
      <c r="C480" s="33"/>
      <c r="D480" s="33"/>
      <c r="E480" s="33"/>
      <c r="F480" s="33"/>
      <c r="G480" s="33"/>
    </row>
    <row r="481" spans="1:7" s="54" customFormat="1" ht="11.4" customHeight="1" x14ac:dyDescent="0.3">
      <c r="A481" s="33"/>
      <c r="B481" s="33"/>
      <c r="C481" s="33"/>
      <c r="D481" s="33"/>
      <c r="E481" s="33"/>
      <c r="F481" s="33"/>
      <c r="G481" s="33"/>
    </row>
    <row r="482" spans="1:7" s="54" customFormat="1" ht="11.4" customHeight="1" x14ac:dyDescent="0.3">
      <c r="A482" s="33"/>
      <c r="B482" s="33"/>
      <c r="C482" s="33"/>
      <c r="D482" s="33"/>
      <c r="E482" s="33"/>
      <c r="F482" s="33"/>
      <c r="G482" s="33"/>
    </row>
    <row r="483" spans="1:7" s="54" customFormat="1" ht="11.4" customHeight="1" x14ac:dyDescent="0.3">
      <c r="A483" s="33"/>
      <c r="B483" s="33"/>
      <c r="C483" s="33"/>
      <c r="D483" s="33"/>
      <c r="E483" s="33"/>
      <c r="F483" s="33"/>
      <c r="G483" s="33"/>
    </row>
    <row r="484" spans="1:7" s="54" customFormat="1" ht="11.4" customHeight="1" x14ac:dyDescent="0.3">
      <c r="A484" s="33"/>
      <c r="B484" s="33"/>
      <c r="C484" s="33"/>
      <c r="D484" s="33"/>
      <c r="E484" s="33"/>
      <c r="F484" s="33"/>
      <c r="G484" s="33"/>
    </row>
    <row r="485" spans="1:7" s="54" customFormat="1" ht="11.4" customHeight="1" x14ac:dyDescent="0.3">
      <c r="A485" s="33"/>
      <c r="B485" s="33"/>
      <c r="C485" s="33"/>
      <c r="D485" s="33"/>
      <c r="E485" s="33"/>
      <c r="F485" s="33"/>
      <c r="G485" s="33"/>
    </row>
    <row r="486" spans="1:7" s="54" customFormat="1" ht="11.4" customHeight="1" x14ac:dyDescent="0.3">
      <c r="A486" s="33"/>
      <c r="B486" s="33"/>
      <c r="C486" s="33"/>
      <c r="D486" s="33"/>
      <c r="E486" s="33"/>
      <c r="F486" s="33"/>
      <c r="G486" s="33"/>
    </row>
    <row r="487" spans="1:7" s="54" customFormat="1" ht="11.4" customHeight="1" x14ac:dyDescent="0.3">
      <c r="A487" s="33"/>
      <c r="B487" s="33"/>
      <c r="C487" s="33"/>
      <c r="D487" s="33"/>
      <c r="E487" s="33"/>
      <c r="F487" s="33"/>
      <c r="G487" s="33"/>
    </row>
    <row r="488" spans="1:7" s="54" customFormat="1" ht="11.4" customHeight="1" x14ac:dyDescent="0.3">
      <c r="A488" s="33"/>
      <c r="B488" s="33"/>
      <c r="C488" s="33"/>
      <c r="D488" s="33"/>
      <c r="E488" s="33"/>
      <c r="F488" s="33"/>
      <c r="G488" s="33"/>
    </row>
    <row r="489" spans="1:7" s="54" customFormat="1" ht="11.4" customHeight="1" x14ac:dyDescent="0.3">
      <c r="A489" s="33"/>
      <c r="B489" s="33"/>
      <c r="C489" s="33"/>
      <c r="D489" s="33"/>
      <c r="E489" s="33"/>
      <c r="F489" s="33"/>
      <c r="G489" s="33"/>
    </row>
    <row r="490" spans="1:7" s="54" customFormat="1" ht="11.4" customHeight="1" x14ac:dyDescent="0.3">
      <c r="A490" s="33"/>
      <c r="B490" s="33"/>
      <c r="C490" s="33"/>
      <c r="D490" s="33"/>
      <c r="E490" s="33"/>
      <c r="F490" s="33"/>
      <c r="G490" s="33"/>
    </row>
    <row r="491" spans="1:7" s="54" customFormat="1" ht="11.4" customHeight="1" x14ac:dyDescent="0.3">
      <c r="A491" s="33"/>
      <c r="B491" s="33"/>
      <c r="C491" s="33"/>
      <c r="D491" s="33"/>
      <c r="E491" s="33"/>
      <c r="F491" s="33"/>
      <c r="G491" s="33"/>
    </row>
    <row r="492" spans="1:7" s="54" customFormat="1" ht="11.4" customHeight="1" x14ac:dyDescent="0.3">
      <c r="A492" s="33"/>
      <c r="B492" s="33"/>
      <c r="C492" s="33"/>
      <c r="D492" s="33"/>
      <c r="E492" s="33"/>
      <c r="F492" s="33"/>
      <c r="G492" s="33"/>
    </row>
    <row r="493" spans="1:7" s="54" customFormat="1" ht="11.4" customHeight="1" x14ac:dyDescent="0.3">
      <c r="A493" s="33"/>
      <c r="B493" s="33"/>
      <c r="C493" s="33"/>
      <c r="D493" s="33"/>
      <c r="E493" s="33"/>
      <c r="F493" s="33"/>
      <c r="G493" s="33"/>
    </row>
    <row r="494" spans="1:7" s="54" customFormat="1" ht="11.4" customHeight="1" x14ac:dyDescent="0.3">
      <c r="A494" s="33"/>
      <c r="B494" s="33"/>
      <c r="C494" s="33"/>
      <c r="D494" s="33"/>
      <c r="E494" s="33"/>
      <c r="F494" s="33"/>
      <c r="G494" s="33"/>
    </row>
    <row r="495" spans="1:7" s="54" customFormat="1" ht="11.4" customHeight="1" x14ac:dyDescent="0.3">
      <c r="A495" s="33"/>
      <c r="B495" s="33"/>
      <c r="C495" s="33"/>
      <c r="D495" s="33"/>
      <c r="E495" s="33"/>
      <c r="F495" s="33"/>
      <c r="G495" s="33"/>
    </row>
    <row r="496" spans="1:7" s="54" customFormat="1" ht="11.4" customHeight="1" x14ac:dyDescent="0.3">
      <c r="A496" s="33"/>
      <c r="B496" s="33"/>
      <c r="C496" s="33"/>
      <c r="D496" s="33"/>
      <c r="E496" s="33"/>
      <c r="F496" s="33"/>
      <c r="G496" s="33"/>
    </row>
    <row r="497" spans="1:7" s="54" customFormat="1" ht="11.4" customHeight="1" x14ac:dyDescent="0.3">
      <c r="A497" s="33"/>
      <c r="B497" s="33"/>
      <c r="C497" s="33"/>
      <c r="D497" s="33"/>
      <c r="E497" s="33"/>
      <c r="F497" s="33"/>
      <c r="G497" s="33"/>
    </row>
    <row r="498" spans="1:7" s="54" customFormat="1" ht="11.4" customHeight="1" x14ac:dyDescent="0.3">
      <c r="A498" s="33"/>
      <c r="B498" s="33"/>
      <c r="C498" s="33"/>
      <c r="D498" s="33"/>
      <c r="E498" s="33"/>
      <c r="F498" s="33"/>
      <c r="G498" s="33"/>
    </row>
    <row r="499" spans="1:7" s="54" customFormat="1" ht="11.4" customHeight="1" x14ac:dyDescent="0.3">
      <c r="A499" s="33"/>
      <c r="B499" s="33"/>
      <c r="C499" s="33"/>
      <c r="D499" s="33"/>
      <c r="E499" s="33"/>
      <c r="F499" s="33"/>
      <c r="G499" s="33"/>
    </row>
    <row r="500" spans="1:7" s="54" customFormat="1" ht="11.4" customHeight="1" x14ac:dyDescent="0.3">
      <c r="A500" s="33"/>
      <c r="B500" s="33"/>
      <c r="C500" s="33"/>
      <c r="D500" s="33"/>
      <c r="E500" s="33"/>
      <c r="F500" s="33"/>
      <c r="G500" s="33"/>
    </row>
    <row r="501" spans="1:7" s="54" customFormat="1" ht="11.4" customHeight="1" x14ac:dyDescent="0.3">
      <c r="A501" s="33"/>
      <c r="B501" s="33"/>
      <c r="C501" s="33"/>
      <c r="D501" s="33"/>
      <c r="E501" s="33"/>
      <c r="F501" s="33"/>
      <c r="G501" s="33"/>
    </row>
    <row r="502" spans="1:7" s="54" customFormat="1" ht="11.4" customHeight="1" x14ac:dyDescent="0.3">
      <c r="A502" s="33"/>
      <c r="B502" s="33"/>
      <c r="C502" s="33"/>
      <c r="D502" s="33"/>
      <c r="E502" s="33"/>
      <c r="F502" s="33"/>
      <c r="G502" s="33"/>
    </row>
    <row r="503" spans="1:7" s="54" customFormat="1" ht="11.4" customHeight="1" x14ac:dyDescent="0.3">
      <c r="A503" s="33"/>
      <c r="B503" s="33"/>
      <c r="C503" s="33"/>
      <c r="D503" s="33"/>
      <c r="E503" s="33"/>
      <c r="F503" s="33"/>
      <c r="G503" s="33"/>
    </row>
    <row r="504" spans="1:7" s="54" customFormat="1" ht="11.4" customHeight="1" x14ac:dyDescent="0.3">
      <c r="A504" s="33"/>
      <c r="B504" s="33"/>
      <c r="C504" s="33"/>
      <c r="D504" s="33"/>
      <c r="E504" s="33"/>
      <c r="F504" s="33"/>
      <c r="G504" s="33"/>
    </row>
    <row r="505" spans="1:7" s="54" customFormat="1" ht="11.4" customHeight="1" x14ac:dyDescent="0.3">
      <c r="A505" s="33"/>
      <c r="B505" s="33"/>
      <c r="C505" s="33"/>
      <c r="D505" s="33"/>
      <c r="E505" s="33"/>
      <c r="F505" s="33"/>
      <c r="G505" s="33"/>
    </row>
    <row r="506" spans="1:7" s="54" customFormat="1" ht="11.4" customHeight="1" x14ac:dyDescent="0.3">
      <c r="A506" s="33"/>
      <c r="B506" s="33"/>
      <c r="C506" s="33"/>
      <c r="D506" s="33"/>
      <c r="E506" s="33"/>
      <c r="F506" s="33"/>
      <c r="G506" s="33"/>
    </row>
    <row r="507" spans="1:7" s="54" customFormat="1" ht="11.4" customHeight="1" x14ac:dyDescent="0.3">
      <c r="A507" s="33"/>
      <c r="B507" s="33"/>
      <c r="C507" s="33"/>
      <c r="D507" s="33"/>
      <c r="E507" s="33"/>
      <c r="F507" s="33"/>
      <c r="G507" s="33"/>
    </row>
    <row r="508" spans="1:7" s="54" customFormat="1" ht="11.4" customHeight="1" x14ac:dyDescent="0.3">
      <c r="A508" s="33"/>
      <c r="B508" s="33"/>
      <c r="C508" s="33"/>
      <c r="D508" s="33"/>
      <c r="E508" s="33"/>
      <c r="F508" s="33"/>
      <c r="G508" s="33"/>
    </row>
    <row r="509" spans="1:7" s="54" customFormat="1" ht="11.4" customHeight="1" x14ac:dyDescent="0.3">
      <c r="A509" s="33"/>
      <c r="B509" s="33"/>
      <c r="C509" s="33"/>
      <c r="D509" s="33"/>
      <c r="E509" s="33"/>
      <c r="F509" s="33"/>
      <c r="G509" s="33"/>
    </row>
    <row r="510" spans="1:7" s="54" customFormat="1" ht="11.4" customHeight="1" x14ac:dyDescent="0.3">
      <c r="A510" s="33"/>
      <c r="B510" s="33"/>
      <c r="C510" s="33"/>
      <c r="D510" s="33"/>
      <c r="E510" s="33"/>
      <c r="F510" s="33"/>
      <c r="G510" s="33"/>
    </row>
    <row r="511" spans="1:7" s="54" customFormat="1" ht="11.4" customHeight="1" x14ac:dyDescent="0.3">
      <c r="A511" s="33"/>
      <c r="B511" s="33"/>
      <c r="C511" s="33"/>
      <c r="D511" s="33"/>
      <c r="E511" s="33"/>
      <c r="F511" s="33"/>
      <c r="G511" s="33"/>
    </row>
    <row r="512" spans="1:7" s="54" customFormat="1" ht="11.4" customHeight="1" x14ac:dyDescent="0.3">
      <c r="A512" s="33"/>
      <c r="B512" s="33"/>
      <c r="C512" s="33"/>
      <c r="D512" s="33"/>
      <c r="E512" s="33"/>
      <c r="F512" s="33"/>
      <c r="G512" s="33"/>
    </row>
    <row r="513" spans="1:7" s="54" customFormat="1" ht="11.4" customHeight="1" x14ac:dyDescent="0.3">
      <c r="A513" s="33"/>
      <c r="B513" s="33"/>
      <c r="C513" s="33"/>
      <c r="D513" s="33"/>
      <c r="E513" s="33"/>
      <c r="F513" s="33"/>
      <c r="G513" s="33"/>
    </row>
    <row r="514" spans="1:7" s="54" customFormat="1" ht="11.4" customHeight="1" x14ac:dyDescent="0.3">
      <c r="A514" s="33"/>
      <c r="B514" s="33"/>
      <c r="C514" s="33"/>
      <c r="D514" s="33"/>
      <c r="E514" s="33"/>
      <c r="F514" s="33"/>
      <c r="G514" s="33"/>
    </row>
    <row r="515" spans="1:7" s="54" customFormat="1" ht="11.4" customHeight="1" x14ac:dyDescent="0.3">
      <c r="A515" s="33"/>
      <c r="B515" s="33"/>
      <c r="C515" s="33"/>
      <c r="D515" s="33"/>
      <c r="E515" s="33"/>
      <c r="F515" s="33"/>
      <c r="G515" s="33"/>
    </row>
    <row r="516" spans="1:7" s="54" customFormat="1" ht="11.4" customHeight="1" x14ac:dyDescent="0.3">
      <c r="A516" s="33"/>
      <c r="B516" s="33"/>
      <c r="C516" s="33"/>
      <c r="D516" s="33"/>
      <c r="E516" s="33"/>
      <c r="F516" s="33"/>
      <c r="G516" s="33"/>
    </row>
    <row r="517" spans="1:7" s="54" customFormat="1" ht="11.4" customHeight="1" x14ac:dyDescent="0.3">
      <c r="A517" s="33"/>
      <c r="B517" s="33"/>
      <c r="C517" s="33"/>
      <c r="D517" s="33"/>
      <c r="E517" s="33"/>
      <c r="F517" s="33"/>
      <c r="G517" s="33"/>
    </row>
    <row r="518" spans="1:7" s="54" customFormat="1" ht="11.4" customHeight="1" x14ac:dyDescent="0.3">
      <c r="A518" s="33"/>
      <c r="B518" s="33"/>
      <c r="C518" s="33"/>
      <c r="D518" s="33"/>
      <c r="E518" s="33"/>
      <c r="F518" s="33"/>
      <c r="G518" s="33"/>
    </row>
    <row r="519" spans="1:7" s="54" customFormat="1" ht="11.4" customHeight="1" x14ac:dyDescent="0.3">
      <c r="A519" s="33"/>
      <c r="B519" s="33"/>
      <c r="C519" s="33"/>
      <c r="D519" s="33"/>
      <c r="E519" s="33"/>
      <c r="F519" s="33"/>
      <c r="G519" s="33"/>
    </row>
    <row r="520" spans="1:7" s="54" customFormat="1" ht="11.4" customHeight="1" x14ac:dyDescent="0.3">
      <c r="A520" s="33"/>
      <c r="B520" s="33"/>
      <c r="C520" s="33"/>
      <c r="D520" s="33"/>
      <c r="E520" s="33"/>
      <c r="F520" s="33"/>
      <c r="G520" s="33"/>
    </row>
    <row r="521" spans="1:7" s="54" customFormat="1" ht="11.4" customHeight="1" x14ac:dyDescent="0.3">
      <c r="A521" s="33"/>
      <c r="B521" s="33"/>
      <c r="C521" s="33"/>
      <c r="D521" s="33"/>
      <c r="E521" s="33"/>
      <c r="F521" s="33"/>
      <c r="G521" s="33"/>
    </row>
    <row r="522" spans="1:7" s="54" customFormat="1" ht="11.4" customHeight="1" x14ac:dyDescent="0.3">
      <c r="A522" s="33"/>
      <c r="B522" s="33"/>
      <c r="C522" s="33"/>
      <c r="D522" s="33"/>
      <c r="E522" s="33"/>
      <c r="F522" s="33"/>
      <c r="G522" s="33"/>
    </row>
    <row r="523" spans="1:7" s="54" customFormat="1" ht="11.4" customHeight="1" x14ac:dyDescent="0.3">
      <c r="A523" s="33"/>
      <c r="B523" s="33"/>
      <c r="C523" s="33"/>
      <c r="D523" s="33"/>
      <c r="E523" s="33"/>
      <c r="F523" s="33"/>
      <c r="G523" s="33"/>
    </row>
    <row r="524" spans="1:7" s="54" customFormat="1" ht="11.4" customHeight="1" x14ac:dyDescent="0.3">
      <c r="A524" s="33"/>
      <c r="B524" s="33"/>
      <c r="C524" s="33"/>
      <c r="D524" s="33"/>
      <c r="E524" s="33"/>
      <c r="F524" s="33"/>
      <c r="G524" s="33"/>
    </row>
    <row r="525" spans="1:7" s="54" customFormat="1" ht="11.4" customHeight="1" x14ac:dyDescent="0.3">
      <c r="A525" s="33"/>
      <c r="B525" s="33"/>
      <c r="C525" s="33"/>
      <c r="D525" s="33"/>
      <c r="E525" s="33"/>
      <c r="F525" s="33"/>
      <c r="G525" s="33"/>
    </row>
    <row r="526" spans="1:7" s="54" customFormat="1" ht="11.4" customHeight="1" x14ac:dyDescent="0.3">
      <c r="A526" s="33"/>
      <c r="B526" s="33"/>
      <c r="C526" s="33"/>
      <c r="D526" s="33"/>
      <c r="E526" s="33"/>
      <c r="F526" s="33"/>
      <c r="G526" s="33"/>
    </row>
    <row r="527" spans="1:7" s="54" customFormat="1" ht="11.4" customHeight="1" x14ac:dyDescent="0.3">
      <c r="A527" s="33"/>
      <c r="B527" s="33"/>
      <c r="C527" s="33"/>
      <c r="D527" s="33"/>
      <c r="E527" s="33"/>
      <c r="F527" s="33"/>
      <c r="G527" s="33"/>
    </row>
    <row r="528" spans="1:7" s="54" customFormat="1" ht="11.4" customHeight="1" x14ac:dyDescent="0.3">
      <c r="A528" s="33"/>
      <c r="B528" s="33"/>
      <c r="C528" s="33"/>
      <c r="D528" s="33"/>
      <c r="E528" s="33"/>
      <c r="F528" s="33"/>
      <c r="G528" s="33"/>
    </row>
    <row r="529" spans="1:7" s="54" customFormat="1" ht="11.4" customHeight="1" x14ac:dyDescent="0.3">
      <c r="A529" s="33"/>
      <c r="B529" s="33"/>
      <c r="C529" s="33"/>
      <c r="D529" s="33"/>
      <c r="E529" s="33"/>
      <c r="F529" s="33"/>
      <c r="G529" s="33"/>
    </row>
    <row r="530" spans="1:7" s="54" customFormat="1" ht="11.4" customHeight="1" x14ac:dyDescent="0.3">
      <c r="A530" s="33"/>
      <c r="B530" s="33"/>
      <c r="C530" s="33"/>
      <c r="D530" s="33"/>
      <c r="E530" s="33"/>
      <c r="F530" s="33"/>
      <c r="G530" s="33"/>
    </row>
    <row r="531" spans="1:7" s="54" customFormat="1" ht="11.4" customHeight="1" x14ac:dyDescent="0.3">
      <c r="A531" s="33"/>
      <c r="B531" s="33"/>
      <c r="C531" s="33"/>
      <c r="D531" s="33"/>
      <c r="E531" s="33"/>
      <c r="F531" s="33"/>
      <c r="G531" s="33"/>
    </row>
    <row r="532" spans="1:7" s="54" customFormat="1" ht="11.4" customHeight="1" x14ac:dyDescent="0.3">
      <c r="A532" s="33"/>
      <c r="B532" s="33"/>
      <c r="C532" s="33"/>
      <c r="D532" s="33"/>
      <c r="E532" s="33"/>
      <c r="F532" s="33"/>
      <c r="G532" s="33"/>
    </row>
    <row r="533" spans="1:7" s="54" customFormat="1" ht="11.4" customHeight="1" x14ac:dyDescent="0.3">
      <c r="A533" s="33"/>
      <c r="B533" s="33"/>
      <c r="C533" s="33"/>
      <c r="D533" s="33"/>
      <c r="E533" s="33"/>
      <c r="F533" s="33"/>
      <c r="G533" s="33"/>
    </row>
    <row r="534" spans="1:7" s="54" customFormat="1" ht="11.4" customHeight="1" x14ac:dyDescent="0.3">
      <c r="A534" s="33"/>
      <c r="B534" s="33"/>
      <c r="C534" s="33"/>
      <c r="D534" s="33"/>
      <c r="E534" s="33"/>
      <c r="F534" s="33"/>
      <c r="G534" s="33"/>
    </row>
    <row r="535" spans="1:7" s="54" customFormat="1" ht="11.4" customHeight="1" x14ac:dyDescent="0.3">
      <c r="A535" s="33"/>
      <c r="B535" s="33"/>
      <c r="C535" s="33"/>
      <c r="D535" s="33"/>
      <c r="E535" s="33"/>
      <c r="F535" s="33"/>
      <c r="G535" s="33"/>
    </row>
    <row r="536" spans="1:7" s="54" customFormat="1" ht="11.4" customHeight="1" x14ac:dyDescent="0.3">
      <c r="A536" s="33"/>
      <c r="B536" s="33"/>
      <c r="C536" s="33"/>
      <c r="D536" s="33"/>
      <c r="E536" s="33"/>
      <c r="F536" s="33"/>
      <c r="G536" s="33"/>
    </row>
    <row r="537" spans="1:7" s="54" customFormat="1" ht="11.4" customHeight="1" x14ac:dyDescent="0.3">
      <c r="A537" s="33"/>
      <c r="B537" s="33"/>
      <c r="C537" s="33"/>
      <c r="D537" s="33"/>
      <c r="E537" s="33"/>
      <c r="F537" s="33"/>
      <c r="G537" s="33"/>
    </row>
    <row r="538" spans="1:7" s="54" customFormat="1" ht="11.4" customHeight="1" x14ac:dyDescent="0.3">
      <c r="A538" s="33"/>
      <c r="B538" s="33"/>
      <c r="C538" s="33"/>
      <c r="D538" s="33"/>
      <c r="E538" s="33"/>
      <c r="F538" s="33"/>
      <c r="G538" s="33"/>
    </row>
    <row r="539" spans="1:7" s="54" customFormat="1" ht="11.4" customHeight="1" x14ac:dyDescent="0.3">
      <c r="A539" s="33"/>
      <c r="B539" s="33"/>
      <c r="C539" s="33"/>
      <c r="D539" s="33"/>
      <c r="E539" s="33"/>
      <c r="F539" s="33"/>
      <c r="G539" s="33"/>
    </row>
    <row r="540" spans="1:7" s="54" customFormat="1" ht="11.4" customHeight="1" x14ac:dyDescent="0.3">
      <c r="A540" s="33"/>
      <c r="B540" s="33"/>
      <c r="C540" s="33"/>
      <c r="D540" s="33"/>
      <c r="E540" s="33"/>
      <c r="F540" s="33"/>
      <c r="G540" s="33"/>
    </row>
    <row r="541" spans="1:7" s="54" customFormat="1" ht="11.4" customHeight="1" x14ac:dyDescent="0.3">
      <c r="A541" s="33"/>
      <c r="B541" s="33"/>
      <c r="C541" s="33"/>
      <c r="D541" s="33"/>
      <c r="E541" s="33"/>
      <c r="F541" s="33"/>
      <c r="G541" s="33"/>
    </row>
    <row r="542" spans="1:7" s="54" customFormat="1" ht="11.4" customHeight="1" x14ac:dyDescent="0.3">
      <c r="A542" s="33"/>
      <c r="B542" s="33"/>
      <c r="C542" s="33"/>
      <c r="D542" s="33"/>
      <c r="E542" s="33"/>
      <c r="F542" s="33"/>
      <c r="G542" s="33"/>
    </row>
    <row r="543" spans="1:7" s="54" customFormat="1" ht="11.4" customHeight="1" x14ac:dyDescent="0.3">
      <c r="A543" s="33"/>
      <c r="B543" s="33"/>
      <c r="C543" s="33"/>
      <c r="D543" s="33"/>
      <c r="E543" s="33"/>
      <c r="F543" s="33"/>
      <c r="G543" s="33"/>
    </row>
    <row r="544" spans="1:7" s="54" customFormat="1" ht="11.4" customHeight="1" x14ac:dyDescent="0.3">
      <c r="A544" s="33"/>
      <c r="B544" s="33"/>
      <c r="C544" s="33"/>
      <c r="D544" s="33"/>
      <c r="E544" s="33"/>
      <c r="F544" s="33"/>
      <c r="G544" s="33"/>
    </row>
    <row r="545" spans="1:7" s="54" customFormat="1" ht="11.4" customHeight="1" x14ac:dyDescent="0.3">
      <c r="A545" s="33"/>
      <c r="B545" s="33"/>
      <c r="C545" s="33"/>
      <c r="D545" s="33"/>
      <c r="E545" s="33"/>
      <c r="F545" s="33"/>
      <c r="G545" s="33"/>
    </row>
    <row r="546" spans="1:7" s="54" customFormat="1" ht="11.4" customHeight="1" x14ac:dyDescent="0.3">
      <c r="A546" s="33"/>
      <c r="B546" s="33"/>
      <c r="C546" s="33"/>
      <c r="D546" s="33"/>
      <c r="E546" s="33"/>
      <c r="F546" s="33"/>
      <c r="G546" s="33"/>
    </row>
    <row r="547" spans="1:7" s="54" customFormat="1" ht="11.4" customHeight="1" x14ac:dyDescent="0.3">
      <c r="A547" s="33"/>
      <c r="B547" s="33"/>
      <c r="C547" s="33"/>
      <c r="D547" s="33"/>
      <c r="E547" s="33"/>
      <c r="F547" s="33"/>
      <c r="G547" s="33"/>
    </row>
    <row r="548" spans="1:7" s="54" customFormat="1" ht="11.4" customHeight="1" x14ac:dyDescent="0.3">
      <c r="A548" s="33"/>
      <c r="B548" s="33"/>
      <c r="C548" s="33"/>
      <c r="D548" s="33"/>
      <c r="E548" s="33"/>
      <c r="F548" s="33"/>
      <c r="G548" s="33"/>
    </row>
    <row r="549" spans="1:7" s="54" customFormat="1" ht="11.4" customHeight="1" x14ac:dyDescent="0.3">
      <c r="A549" s="33"/>
      <c r="B549" s="33"/>
      <c r="C549" s="33"/>
      <c r="D549" s="33"/>
      <c r="E549" s="33"/>
      <c r="F549" s="33"/>
      <c r="G549" s="33"/>
    </row>
    <row r="550" spans="1:7" s="54" customFormat="1" ht="11.4" customHeight="1" x14ac:dyDescent="0.3">
      <c r="A550" s="33"/>
      <c r="B550" s="33"/>
      <c r="C550" s="33"/>
      <c r="D550" s="33"/>
      <c r="E550" s="33"/>
      <c r="F550" s="33"/>
      <c r="G550" s="33"/>
    </row>
    <row r="551" spans="1:7" s="54" customFormat="1" ht="11.4" customHeight="1" x14ac:dyDescent="0.3">
      <c r="A551" s="33"/>
      <c r="B551" s="33"/>
      <c r="C551" s="33"/>
      <c r="D551" s="33"/>
      <c r="E551" s="33"/>
      <c r="F551" s="33"/>
      <c r="G551" s="33"/>
    </row>
    <row r="552" spans="1:7" s="54" customFormat="1" ht="11.4" customHeight="1" x14ac:dyDescent="0.3">
      <c r="A552" s="33"/>
      <c r="B552" s="33"/>
      <c r="C552" s="33"/>
      <c r="D552" s="33"/>
      <c r="E552" s="33"/>
      <c r="F552" s="33"/>
      <c r="G552" s="33"/>
    </row>
    <row r="553" spans="1:7" s="54" customFormat="1" ht="11.4" customHeight="1" x14ac:dyDescent="0.3">
      <c r="A553" s="33"/>
      <c r="B553" s="33"/>
      <c r="C553" s="33"/>
      <c r="D553" s="33"/>
      <c r="E553" s="33"/>
      <c r="F553" s="33"/>
      <c r="G553" s="33"/>
    </row>
    <row r="554" spans="1:7" s="54" customFormat="1" ht="11.4" customHeight="1" x14ac:dyDescent="0.3">
      <c r="A554" s="33"/>
      <c r="B554" s="33"/>
      <c r="C554" s="33"/>
      <c r="D554" s="33"/>
      <c r="E554" s="33"/>
      <c r="F554" s="33"/>
      <c r="G554" s="33"/>
    </row>
    <row r="555" spans="1:7" s="54" customFormat="1" ht="11.4" customHeight="1" x14ac:dyDescent="0.3">
      <c r="A555" s="33"/>
      <c r="B555" s="33"/>
      <c r="C555" s="33"/>
      <c r="D555" s="33"/>
      <c r="E555" s="33"/>
      <c r="F555" s="33"/>
      <c r="G555" s="33"/>
    </row>
    <row r="556" spans="1:7" s="54" customFormat="1" ht="11.4" customHeight="1" x14ac:dyDescent="0.3">
      <c r="A556" s="33"/>
      <c r="B556" s="33"/>
      <c r="C556" s="33"/>
      <c r="D556" s="33"/>
      <c r="E556" s="33"/>
      <c r="F556" s="33"/>
      <c r="G556" s="33"/>
    </row>
    <row r="557" spans="1:7" s="54" customFormat="1" ht="11.4" customHeight="1" x14ac:dyDescent="0.3">
      <c r="A557" s="33"/>
      <c r="B557" s="33"/>
      <c r="C557" s="33"/>
      <c r="D557" s="33"/>
      <c r="E557" s="33"/>
      <c r="F557" s="33"/>
      <c r="G557" s="33"/>
    </row>
    <row r="558" spans="1:7" s="54" customFormat="1" ht="11.4" customHeight="1" x14ac:dyDescent="0.3">
      <c r="A558" s="33"/>
      <c r="B558" s="33"/>
      <c r="C558" s="33"/>
      <c r="D558" s="33"/>
      <c r="E558" s="33"/>
      <c r="F558" s="33"/>
      <c r="G558" s="33"/>
    </row>
    <row r="559" spans="1:7" s="54" customFormat="1" ht="11.4" customHeight="1" x14ac:dyDescent="0.3">
      <c r="A559" s="33"/>
      <c r="B559" s="33"/>
      <c r="C559" s="33"/>
      <c r="D559" s="33"/>
      <c r="E559" s="33"/>
      <c r="F559" s="33"/>
      <c r="G559" s="33"/>
    </row>
    <row r="560" spans="1:7" s="54" customFormat="1" ht="11.4" customHeight="1" x14ac:dyDescent="0.3">
      <c r="A560" s="33"/>
      <c r="B560" s="33"/>
      <c r="C560" s="33"/>
      <c r="D560" s="33"/>
      <c r="E560" s="33"/>
      <c r="F560" s="33"/>
      <c r="G560" s="33"/>
    </row>
    <row r="561" spans="1:7" s="54" customFormat="1" ht="11.4" customHeight="1" x14ac:dyDescent="0.3">
      <c r="A561" s="33"/>
      <c r="B561" s="33"/>
      <c r="C561" s="33"/>
      <c r="D561" s="33"/>
      <c r="E561" s="33"/>
      <c r="F561" s="33"/>
      <c r="G561" s="33"/>
    </row>
    <row r="562" spans="1:7" s="54" customFormat="1" ht="11.4" customHeight="1" x14ac:dyDescent="0.3">
      <c r="A562" s="33"/>
      <c r="B562" s="33"/>
      <c r="C562" s="33"/>
      <c r="D562" s="33"/>
      <c r="E562" s="33"/>
      <c r="F562" s="33"/>
      <c r="G562" s="33"/>
    </row>
    <row r="563" spans="1:7" s="54" customFormat="1" ht="11.4" customHeight="1" x14ac:dyDescent="0.3">
      <c r="A563" s="33"/>
      <c r="B563" s="33"/>
      <c r="C563" s="33"/>
      <c r="D563" s="33"/>
      <c r="E563" s="33"/>
      <c r="F563" s="33"/>
      <c r="G563" s="33"/>
    </row>
    <row r="564" spans="1:7" s="54" customFormat="1" ht="11.4" customHeight="1" x14ac:dyDescent="0.3">
      <c r="A564" s="33"/>
      <c r="B564" s="33"/>
      <c r="C564" s="33"/>
      <c r="D564" s="33"/>
      <c r="E564" s="33"/>
      <c r="F564" s="33"/>
      <c r="G564" s="33"/>
    </row>
    <row r="565" spans="1:7" s="54" customFormat="1" ht="11.4" customHeight="1" x14ac:dyDescent="0.3">
      <c r="A565" s="33"/>
      <c r="B565" s="33"/>
      <c r="C565" s="33"/>
      <c r="D565" s="33"/>
      <c r="E565" s="33"/>
      <c r="F565" s="33"/>
      <c r="G565" s="33"/>
    </row>
    <row r="566" spans="1:7" s="54" customFormat="1" ht="11.4" customHeight="1" x14ac:dyDescent="0.3">
      <c r="A566" s="33"/>
      <c r="B566" s="33"/>
      <c r="C566" s="33"/>
      <c r="D566" s="33"/>
      <c r="E566" s="33"/>
      <c r="F566" s="33"/>
      <c r="G566" s="33"/>
    </row>
    <row r="567" spans="1:7" s="54" customFormat="1" ht="11.4" customHeight="1" x14ac:dyDescent="0.3">
      <c r="A567" s="33"/>
      <c r="B567" s="33"/>
      <c r="C567" s="33"/>
      <c r="D567" s="33"/>
      <c r="E567" s="33"/>
      <c r="F567" s="33"/>
      <c r="G567" s="33"/>
    </row>
    <row r="568" spans="1:7" s="54" customFormat="1" ht="11.4" customHeight="1" x14ac:dyDescent="0.3">
      <c r="A568" s="33"/>
      <c r="B568" s="33"/>
      <c r="C568" s="33"/>
      <c r="D568" s="33"/>
      <c r="E568" s="33"/>
      <c r="F568" s="33"/>
      <c r="G568" s="33"/>
    </row>
    <row r="569" spans="1:7" s="54" customFormat="1" ht="11.4" customHeight="1" x14ac:dyDescent="0.3">
      <c r="A569" s="33"/>
      <c r="B569" s="33"/>
      <c r="C569" s="33"/>
      <c r="D569" s="33"/>
      <c r="E569" s="33"/>
      <c r="F569" s="33"/>
      <c r="G569" s="33"/>
    </row>
    <row r="570" spans="1:7" s="54" customFormat="1" ht="11.4" customHeight="1" x14ac:dyDescent="0.3">
      <c r="A570" s="33"/>
      <c r="B570" s="33"/>
      <c r="C570" s="33"/>
      <c r="D570" s="33"/>
      <c r="E570" s="33"/>
      <c r="F570" s="33"/>
      <c r="G570" s="33"/>
    </row>
    <row r="571" spans="1:7" s="54" customFormat="1" ht="11.4" customHeight="1" x14ac:dyDescent="0.3">
      <c r="A571" s="33"/>
      <c r="B571" s="33"/>
      <c r="C571" s="33"/>
      <c r="D571" s="33"/>
      <c r="E571" s="33"/>
      <c r="F571" s="33"/>
      <c r="G571" s="33"/>
    </row>
    <row r="572" spans="1:7" s="54" customFormat="1" ht="11.4" customHeight="1" x14ac:dyDescent="0.3">
      <c r="A572" s="33"/>
      <c r="B572" s="33"/>
      <c r="C572" s="33"/>
      <c r="D572" s="33"/>
      <c r="E572" s="33"/>
      <c r="F572" s="33"/>
      <c r="G572" s="33"/>
    </row>
    <row r="573" spans="1:7" s="54" customFormat="1" ht="11.4" customHeight="1" x14ac:dyDescent="0.3">
      <c r="A573" s="33"/>
      <c r="B573" s="33"/>
      <c r="C573" s="33"/>
      <c r="D573" s="33"/>
      <c r="E573" s="33"/>
      <c r="F573" s="33"/>
      <c r="G573" s="33"/>
    </row>
    <row r="574" spans="1:7" s="54" customFormat="1" ht="11.4" customHeight="1" x14ac:dyDescent="0.3">
      <c r="A574" s="33"/>
      <c r="B574" s="33"/>
      <c r="C574" s="33"/>
      <c r="D574" s="33"/>
      <c r="E574" s="33"/>
      <c r="F574" s="33"/>
      <c r="G574" s="33"/>
    </row>
    <row r="575" spans="1:7" s="54" customFormat="1" ht="11.4" customHeight="1" x14ac:dyDescent="0.3">
      <c r="A575" s="33"/>
      <c r="B575" s="33"/>
      <c r="C575" s="33"/>
      <c r="D575" s="33"/>
      <c r="E575" s="33"/>
      <c r="F575" s="33"/>
      <c r="G575" s="33"/>
    </row>
    <row r="576" spans="1:7" s="54" customFormat="1" ht="11.4" customHeight="1" x14ac:dyDescent="0.3">
      <c r="A576" s="33"/>
      <c r="B576" s="33"/>
      <c r="C576" s="33"/>
      <c r="D576" s="33"/>
      <c r="E576" s="33"/>
      <c r="F576" s="33"/>
      <c r="G576" s="33"/>
    </row>
    <row r="577" spans="1:7" s="54" customFormat="1" ht="11.4" customHeight="1" x14ac:dyDescent="0.3">
      <c r="A577" s="33"/>
      <c r="B577" s="33"/>
      <c r="C577" s="33"/>
      <c r="D577" s="33"/>
      <c r="E577" s="33"/>
      <c r="F577" s="33"/>
      <c r="G577" s="33"/>
    </row>
    <row r="578" spans="1:7" s="54" customFormat="1" ht="11.4" customHeight="1" x14ac:dyDescent="0.3">
      <c r="A578" s="33"/>
      <c r="B578" s="33"/>
      <c r="C578" s="33"/>
      <c r="D578" s="33"/>
      <c r="E578" s="33"/>
      <c r="F578" s="33"/>
      <c r="G578" s="33"/>
    </row>
    <row r="579" spans="1:7" s="54" customFormat="1" ht="11.4" customHeight="1" x14ac:dyDescent="0.3">
      <c r="A579" s="33"/>
      <c r="B579" s="33"/>
      <c r="C579" s="33"/>
      <c r="D579" s="33"/>
      <c r="E579" s="33"/>
      <c r="F579" s="33"/>
      <c r="G579" s="33"/>
    </row>
    <row r="580" spans="1:7" s="54" customFormat="1" ht="11.4" customHeight="1" x14ac:dyDescent="0.3">
      <c r="A580" s="33"/>
      <c r="B580" s="33"/>
      <c r="C580" s="33"/>
      <c r="D580" s="33"/>
      <c r="E580" s="33"/>
      <c r="F580" s="33"/>
      <c r="G580" s="33"/>
    </row>
    <row r="581" spans="1:7" s="54" customFormat="1" ht="11.4" customHeight="1" x14ac:dyDescent="0.3">
      <c r="A581" s="33"/>
      <c r="B581" s="33"/>
      <c r="C581" s="33"/>
      <c r="D581" s="33"/>
      <c r="E581" s="33"/>
      <c r="F581" s="33"/>
      <c r="G581" s="33"/>
    </row>
    <row r="582" spans="1:7" s="54" customFormat="1" ht="11.4" customHeight="1" x14ac:dyDescent="0.3">
      <c r="A582" s="33"/>
      <c r="B582" s="33"/>
      <c r="C582" s="33"/>
      <c r="D582" s="33"/>
      <c r="E582" s="33"/>
      <c r="F582" s="33"/>
      <c r="G582" s="33"/>
    </row>
    <row r="583" spans="1:7" s="54" customFormat="1" ht="11.4" customHeight="1" x14ac:dyDescent="0.3">
      <c r="A583" s="33"/>
      <c r="B583" s="33"/>
      <c r="C583" s="33"/>
      <c r="D583" s="33"/>
      <c r="E583" s="33"/>
      <c r="F583" s="33"/>
      <c r="G583" s="33"/>
    </row>
    <row r="584" spans="1:7" s="54" customFormat="1" ht="11.4" customHeight="1" x14ac:dyDescent="0.3">
      <c r="A584" s="33"/>
      <c r="B584" s="33"/>
      <c r="C584" s="33"/>
      <c r="D584" s="33"/>
      <c r="E584" s="33"/>
      <c r="F584" s="33"/>
      <c r="G584" s="33"/>
    </row>
    <row r="585" spans="1:7" s="54" customFormat="1" ht="11.4" customHeight="1" x14ac:dyDescent="0.3">
      <c r="A585" s="33"/>
      <c r="B585" s="33"/>
      <c r="C585" s="33"/>
      <c r="D585" s="33"/>
      <c r="E585" s="33"/>
      <c r="F585" s="33"/>
      <c r="G585" s="33"/>
    </row>
    <row r="586" spans="1:7" s="54" customFormat="1" ht="11.4" customHeight="1" x14ac:dyDescent="0.3">
      <c r="A586" s="33"/>
      <c r="B586" s="33"/>
      <c r="C586" s="33"/>
      <c r="D586" s="33"/>
      <c r="E586" s="33"/>
      <c r="F586" s="33"/>
      <c r="G586" s="33"/>
    </row>
    <row r="587" spans="1:7" s="54" customFormat="1" ht="11.4" customHeight="1" x14ac:dyDescent="0.3">
      <c r="A587" s="33"/>
      <c r="B587" s="33"/>
      <c r="C587" s="33"/>
      <c r="D587" s="33"/>
      <c r="E587" s="33"/>
      <c r="F587" s="33"/>
      <c r="G587" s="33"/>
    </row>
    <row r="588" spans="1:7" s="54" customFormat="1" ht="11.4" customHeight="1" x14ac:dyDescent="0.3">
      <c r="A588" s="33"/>
      <c r="B588" s="33"/>
      <c r="C588" s="33"/>
      <c r="D588" s="33"/>
      <c r="E588" s="33"/>
      <c r="F588" s="33"/>
      <c r="G588" s="33"/>
    </row>
    <row r="589" spans="1:7" s="54" customFormat="1" ht="11.4" customHeight="1" x14ac:dyDescent="0.3">
      <c r="A589" s="33"/>
      <c r="B589" s="33"/>
      <c r="C589" s="33"/>
      <c r="D589" s="33"/>
      <c r="E589" s="33"/>
      <c r="F589" s="33"/>
      <c r="G589" s="33"/>
    </row>
    <row r="590" spans="1:7" s="54" customFormat="1" ht="11.4" customHeight="1" x14ac:dyDescent="0.3">
      <c r="A590" s="33"/>
      <c r="B590" s="33"/>
      <c r="C590" s="33"/>
      <c r="D590" s="33"/>
      <c r="E590" s="33"/>
      <c r="F590" s="33"/>
      <c r="G590" s="33"/>
    </row>
    <row r="591" spans="1:7" s="54" customFormat="1" ht="11.4" customHeight="1" x14ac:dyDescent="0.3">
      <c r="A591" s="33"/>
      <c r="B591" s="33"/>
      <c r="C591" s="33"/>
      <c r="D591" s="33"/>
      <c r="E591" s="33"/>
      <c r="F591" s="33"/>
      <c r="G591" s="33"/>
    </row>
    <row r="592" spans="1:7" s="54" customFormat="1" ht="11.4" customHeight="1" x14ac:dyDescent="0.3">
      <c r="A592" s="33"/>
      <c r="B592" s="33"/>
      <c r="C592" s="33"/>
      <c r="D592" s="33"/>
      <c r="E592" s="33"/>
      <c r="F592" s="33"/>
      <c r="G592" s="33"/>
    </row>
    <row r="593" spans="1:7" s="54" customFormat="1" ht="11.4" customHeight="1" x14ac:dyDescent="0.3">
      <c r="A593" s="33"/>
      <c r="B593" s="33"/>
      <c r="C593" s="33"/>
      <c r="D593" s="33"/>
      <c r="E593" s="33"/>
      <c r="F593" s="33"/>
      <c r="G593" s="33"/>
    </row>
    <row r="594" spans="1:7" s="54" customFormat="1" ht="11.4" customHeight="1" x14ac:dyDescent="0.3">
      <c r="A594" s="33"/>
      <c r="B594" s="33"/>
      <c r="C594" s="33"/>
      <c r="D594" s="33"/>
      <c r="E594" s="33"/>
      <c r="F594" s="33"/>
      <c r="G594" s="33"/>
    </row>
    <row r="595" spans="1:7" s="54" customFormat="1" ht="11.4" customHeight="1" x14ac:dyDescent="0.3">
      <c r="A595" s="33"/>
      <c r="B595" s="33"/>
      <c r="C595" s="33"/>
      <c r="D595" s="33"/>
      <c r="E595" s="33"/>
      <c r="F595" s="33"/>
      <c r="G595" s="33"/>
    </row>
    <row r="596" spans="1:7" s="54" customFormat="1" ht="11.4" customHeight="1" x14ac:dyDescent="0.3">
      <c r="A596" s="33"/>
      <c r="B596" s="33"/>
      <c r="C596" s="33"/>
      <c r="D596" s="33"/>
      <c r="E596" s="33"/>
      <c r="F596" s="33"/>
      <c r="G596" s="33"/>
    </row>
    <row r="597" spans="1:7" s="54" customFormat="1" ht="11.4" customHeight="1" x14ac:dyDescent="0.3">
      <c r="A597" s="33"/>
      <c r="B597" s="33"/>
      <c r="C597" s="33"/>
      <c r="D597" s="33"/>
      <c r="E597" s="33"/>
      <c r="F597" s="33"/>
      <c r="G597" s="33"/>
    </row>
    <row r="598" spans="1:7" s="54" customFormat="1" ht="11.4" customHeight="1" x14ac:dyDescent="0.3">
      <c r="A598" s="33"/>
      <c r="B598" s="33"/>
      <c r="C598" s="33"/>
      <c r="D598" s="33"/>
      <c r="E598" s="33"/>
      <c r="F598" s="33"/>
      <c r="G598" s="33"/>
    </row>
    <row r="599" spans="1:7" s="54" customFormat="1" ht="11.4" customHeight="1" x14ac:dyDescent="0.3">
      <c r="A599" s="33"/>
      <c r="B599" s="33"/>
      <c r="C599" s="33"/>
      <c r="D599" s="33"/>
      <c r="E599" s="33"/>
      <c r="F599" s="33"/>
      <c r="G599" s="33"/>
    </row>
    <row r="600" spans="1:7" s="54" customFormat="1" ht="11.4" customHeight="1" x14ac:dyDescent="0.3">
      <c r="A600" s="33"/>
      <c r="B600" s="33"/>
      <c r="C600" s="33"/>
      <c r="D600" s="33"/>
      <c r="E600" s="33"/>
      <c r="F600" s="33"/>
      <c r="G600" s="33"/>
    </row>
    <row r="601" spans="1:7" s="54" customFormat="1" ht="11.4" customHeight="1" x14ac:dyDescent="0.3">
      <c r="A601" s="33"/>
      <c r="B601" s="33"/>
      <c r="C601" s="33"/>
      <c r="D601" s="33"/>
      <c r="E601" s="33"/>
      <c r="F601" s="33"/>
      <c r="G601" s="33"/>
    </row>
    <row r="602" spans="1:7" s="54" customFormat="1" ht="11.4" customHeight="1" x14ac:dyDescent="0.3">
      <c r="A602" s="33"/>
      <c r="B602" s="33"/>
      <c r="C602" s="33"/>
      <c r="D602" s="33"/>
      <c r="E602" s="33"/>
      <c r="F602" s="33"/>
      <c r="G602" s="33"/>
    </row>
    <row r="603" spans="1:7" s="54" customFormat="1" ht="11.4" customHeight="1" x14ac:dyDescent="0.3">
      <c r="A603" s="33"/>
      <c r="B603" s="33"/>
      <c r="C603" s="33"/>
      <c r="D603" s="33"/>
      <c r="E603" s="33"/>
      <c r="F603" s="33"/>
      <c r="G603" s="33"/>
    </row>
    <row r="604" spans="1:7" s="54" customFormat="1" ht="11.4" customHeight="1" x14ac:dyDescent="0.3">
      <c r="A604" s="33"/>
      <c r="B604" s="33"/>
      <c r="C604" s="33"/>
      <c r="D604" s="33"/>
      <c r="E604" s="33"/>
      <c r="F604" s="33"/>
      <c r="G604" s="33"/>
    </row>
    <row r="605" spans="1:7" s="54" customFormat="1" ht="11.4" customHeight="1" x14ac:dyDescent="0.3">
      <c r="A605" s="33"/>
      <c r="B605" s="33"/>
      <c r="C605" s="33"/>
      <c r="D605" s="33"/>
      <c r="E605" s="33"/>
      <c r="F605" s="33"/>
      <c r="G605" s="33"/>
    </row>
    <row r="606" spans="1:7" s="54" customFormat="1" ht="11.4" customHeight="1" x14ac:dyDescent="0.3">
      <c r="A606" s="33"/>
      <c r="B606" s="33"/>
      <c r="C606" s="33"/>
      <c r="D606" s="33"/>
      <c r="E606" s="33"/>
      <c r="F606" s="33"/>
      <c r="G606" s="33"/>
    </row>
    <row r="607" spans="1:7" s="54" customFormat="1" ht="11.4" customHeight="1" x14ac:dyDescent="0.3">
      <c r="A607" s="33"/>
      <c r="B607" s="33"/>
      <c r="C607" s="33"/>
      <c r="D607" s="33"/>
      <c r="E607" s="33"/>
      <c r="F607" s="33"/>
      <c r="G607" s="33"/>
    </row>
    <row r="608" spans="1:7" s="54" customFormat="1" ht="11.4" customHeight="1" x14ac:dyDescent="0.3">
      <c r="A608" s="33"/>
      <c r="B608" s="33"/>
      <c r="C608" s="33"/>
      <c r="D608" s="33"/>
      <c r="E608" s="33"/>
      <c r="F608" s="33"/>
      <c r="G608" s="33"/>
    </row>
    <row r="609" spans="1:7" s="54" customFormat="1" ht="11.4" customHeight="1" x14ac:dyDescent="0.3">
      <c r="A609" s="33"/>
      <c r="B609" s="33"/>
      <c r="C609" s="33"/>
      <c r="D609" s="33"/>
      <c r="E609" s="33"/>
      <c r="F609" s="33"/>
      <c r="G609" s="33"/>
    </row>
    <row r="610" spans="1:7" s="54" customFormat="1" ht="11.4" customHeight="1" x14ac:dyDescent="0.3">
      <c r="A610" s="33"/>
      <c r="B610" s="33"/>
      <c r="C610" s="33"/>
      <c r="D610" s="33"/>
      <c r="E610" s="33"/>
      <c r="F610" s="33"/>
      <c r="G610" s="33"/>
    </row>
    <row r="611" spans="1:7" s="54" customFormat="1" ht="11.4" customHeight="1" x14ac:dyDescent="0.3">
      <c r="A611" s="33"/>
      <c r="B611" s="33"/>
      <c r="C611" s="33"/>
      <c r="D611" s="33"/>
      <c r="E611" s="33"/>
      <c r="F611" s="33"/>
      <c r="G611" s="33"/>
    </row>
    <row r="612" spans="1:7" s="54" customFormat="1" ht="11.4" customHeight="1" x14ac:dyDescent="0.3">
      <c r="A612" s="33"/>
      <c r="B612" s="33"/>
      <c r="C612" s="33"/>
      <c r="D612" s="33"/>
      <c r="E612" s="33"/>
      <c r="F612" s="33"/>
      <c r="G612" s="33"/>
    </row>
    <row r="613" spans="1:7" s="54" customFormat="1" ht="11.4" customHeight="1" x14ac:dyDescent="0.3">
      <c r="A613" s="33"/>
      <c r="B613" s="33"/>
      <c r="C613" s="33"/>
      <c r="D613" s="33"/>
      <c r="E613" s="33"/>
      <c r="F613" s="33"/>
      <c r="G613" s="33"/>
    </row>
    <row r="614" spans="1:7" s="54" customFormat="1" ht="11.4" customHeight="1" x14ac:dyDescent="0.3">
      <c r="A614" s="33"/>
      <c r="B614" s="33"/>
      <c r="C614" s="33"/>
      <c r="D614" s="33"/>
      <c r="E614" s="33"/>
      <c r="F614" s="33"/>
      <c r="G614" s="33"/>
    </row>
    <row r="615" spans="1:7" s="54" customFormat="1" ht="11.4" customHeight="1" x14ac:dyDescent="0.3">
      <c r="A615" s="33"/>
      <c r="B615" s="33"/>
      <c r="C615" s="33"/>
      <c r="D615" s="33"/>
      <c r="E615" s="33"/>
      <c r="F615" s="33"/>
      <c r="G615" s="33"/>
    </row>
    <row r="616" spans="1:7" s="54" customFormat="1" ht="11.4" customHeight="1" x14ac:dyDescent="0.3">
      <c r="A616" s="33"/>
      <c r="B616" s="33"/>
      <c r="C616" s="33"/>
      <c r="D616" s="33"/>
      <c r="E616" s="33"/>
      <c r="F616" s="33"/>
      <c r="G616" s="33"/>
    </row>
    <row r="617" spans="1:7" s="54" customFormat="1" ht="11.4" customHeight="1" x14ac:dyDescent="0.3">
      <c r="A617" s="33"/>
      <c r="B617" s="33"/>
      <c r="C617" s="33"/>
      <c r="D617" s="33"/>
      <c r="E617" s="33"/>
      <c r="F617" s="33"/>
      <c r="G617" s="33"/>
    </row>
    <row r="618" spans="1:7" s="54" customFormat="1" ht="11.4" customHeight="1" x14ac:dyDescent="0.3">
      <c r="A618" s="33"/>
      <c r="B618" s="33"/>
      <c r="C618" s="33"/>
      <c r="D618" s="33"/>
      <c r="E618" s="33"/>
      <c r="F618" s="33"/>
      <c r="G618" s="33"/>
    </row>
    <row r="619" spans="1:7" s="54" customFormat="1" ht="11.4" customHeight="1" x14ac:dyDescent="0.3">
      <c r="A619" s="33"/>
      <c r="B619" s="33"/>
      <c r="C619" s="33"/>
      <c r="D619" s="33"/>
      <c r="E619" s="33"/>
      <c r="F619" s="33"/>
      <c r="G619" s="33"/>
    </row>
    <row r="620" spans="1:7" s="54" customFormat="1" ht="11.4" customHeight="1" x14ac:dyDescent="0.3">
      <c r="A620" s="33"/>
      <c r="B620" s="33"/>
      <c r="C620" s="33"/>
      <c r="D620" s="33"/>
      <c r="E620" s="33"/>
      <c r="F620" s="33"/>
      <c r="G620" s="33"/>
    </row>
    <row r="621" spans="1:7" s="54" customFormat="1" ht="11.4" customHeight="1" x14ac:dyDescent="0.3">
      <c r="A621" s="33"/>
      <c r="B621" s="33"/>
      <c r="C621" s="33"/>
      <c r="D621" s="33"/>
      <c r="E621" s="33"/>
      <c r="F621" s="33"/>
      <c r="G621" s="33"/>
    </row>
    <row r="622" spans="1:7" s="54" customFormat="1" ht="11.4" customHeight="1" x14ac:dyDescent="0.3">
      <c r="A622" s="33"/>
      <c r="B622" s="33"/>
      <c r="C622" s="33"/>
      <c r="D622" s="33"/>
      <c r="E622" s="33"/>
      <c r="F622" s="33"/>
      <c r="G622" s="33"/>
    </row>
    <row r="623" spans="1:7" s="54" customFormat="1" ht="11.4" customHeight="1" x14ac:dyDescent="0.3">
      <c r="A623" s="33"/>
      <c r="B623" s="33"/>
      <c r="C623" s="33"/>
      <c r="D623" s="33"/>
      <c r="E623" s="33"/>
      <c r="F623" s="33"/>
      <c r="G623" s="33"/>
    </row>
    <row r="624" spans="1:7" s="54" customFormat="1" ht="11.4" customHeight="1" x14ac:dyDescent="0.3">
      <c r="A624" s="33"/>
      <c r="B624" s="33"/>
      <c r="C624" s="33"/>
      <c r="D624" s="33"/>
      <c r="E624" s="33"/>
      <c r="F624" s="33"/>
      <c r="G624" s="33"/>
    </row>
    <row r="625" spans="1:7" s="54" customFormat="1" ht="11.4" customHeight="1" x14ac:dyDescent="0.3">
      <c r="A625" s="33"/>
      <c r="B625" s="33"/>
      <c r="C625" s="33"/>
      <c r="D625" s="33"/>
      <c r="E625" s="33"/>
      <c r="F625" s="33"/>
      <c r="G625" s="33"/>
    </row>
    <row r="626" spans="1:7" s="54" customFormat="1" ht="11.4" customHeight="1" x14ac:dyDescent="0.3">
      <c r="A626" s="33"/>
      <c r="B626" s="33"/>
      <c r="C626" s="33"/>
      <c r="D626" s="33"/>
      <c r="E626" s="33"/>
      <c r="F626" s="33"/>
      <c r="G626" s="33"/>
    </row>
    <row r="627" spans="1:7" s="54" customFormat="1" ht="11.4" customHeight="1" x14ac:dyDescent="0.3">
      <c r="A627" s="33"/>
      <c r="B627" s="33"/>
      <c r="C627" s="33"/>
      <c r="D627" s="33"/>
      <c r="E627" s="33"/>
      <c r="F627" s="33"/>
      <c r="G627" s="33"/>
    </row>
    <row r="628" spans="1:7" s="54" customFormat="1" ht="11.4" customHeight="1" x14ac:dyDescent="0.3">
      <c r="A628" s="33"/>
      <c r="B628" s="33"/>
      <c r="C628" s="33"/>
      <c r="D628" s="33"/>
      <c r="E628" s="33"/>
      <c r="F628" s="33"/>
      <c r="G628" s="33"/>
    </row>
    <row r="629" spans="1:7" s="54" customFormat="1" ht="11.4" customHeight="1" x14ac:dyDescent="0.3">
      <c r="A629" s="33"/>
      <c r="B629" s="33"/>
      <c r="C629" s="33"/>
      <c r="D629" s="33"/>
      <c r="E629" s="33"/>
      <c r="F629" s="33"/>
      <c r="G629" s="33"/>
    </row>
    <row r="630" spans="1:7" s="54" customFormat="1" ht="11.4" customHeight="1" x14ac:dyDescent="0.3">
      <c r="A630" s="33"/>
      <c r="B630" s="33"/>
      <c r="C630" s="33"/>
      <c r="D630" s="33"/>
      <c r="E630" s="33"/>
      <c r="F630" s="33"/>
      <c r="G630" s="33"/>
    </row>
    <row r="631" spans="1:7" s="54" customFormat="1" ht="11.4" customHeight="1" x14ac:dyDescent="0.3">
      <c r="A631" s="33"/>
      <c r="B631" s="33"/>
      <c r="C631" s="33"/>
      <c r="D631" s="33"/>
      <c r="E631" s="33"/>
      <c r="F631" s="33"/>
      <c r="G631" s="33"/>
    </row>
    <row r="632" spans="1:7" s="54" customFormat="1" ht="11.4" customHeight="1" x14ac:dyDescent="0.3">
      <c r="A632" s="33"/>
      <c r="B632" s="33"/>
      <c r="C632" s="33"/>
      <c r="D632" s="33"/>
      <c r="E632" s="33"/>
      <c r="F632" s="33"/>
      <c r="G632" s="33"/>
    </row>
    <row r="633" spans="1:7" s="54" customFormat="1" ht="11.4" customHeight="1" x14ac:dyDescent="0.3">
      <c r="A633" s="33"/>
      <c r="B633" s="33"/>
      <c r="C633" s="33"/>
      <c r="D633" s="33"/>
      <c r="E633" s="33"/>
      <c r="F633" s="33"/>
      <c r="G633" s="33"/>
    </row>
    <row r="634" spans="1:7" s="54" customFormat="1" ht="11.4" customHeight="1" x14ac:dyDescent="0.3">
      <c r="A634" s="33"/>
      <c r="B634" s="33"/>
      <c r="C634" s="33"/>
      <c r="D634" s="33"/>
      <c r="E634" s="33"/>
      <c r="F634" s="33"/>
      <c r="G634" s="33"/>
    </row>
    <row r="635" spans="1:7" s="54" customFormat="1" ht="11.4" customHeight="1" x14ac:dyDescent="0.3">
      <c r="A635" s="33"/>
      <c r="B635" s="33"/>
      <c r="C635" s="33"/>
      <c r="D635" s="33"/>
      <c r="E635" s="33"/>
      <c r="F635" s="33"/>
      <c r="G635" s="33"/>
    </row>
    <row r="636" spans="1:7" s="54" customFormat="1" ht="11.4" customHeight="1" x14ac:dyDescent="0.3">
      <c r="A636" s="33"/>
      <c r="B636" s="33"/>
      <c r="C636" s="33"/>
      <c r="D636" s="33"/>
      <c r="E636" s="33"/>
      <c r="F636" s="33"/>
      <c r="G636" s="33"/>
    </row>
    <row r="637" spans="1:7" s="54" customFormat="1" ht="11.4" customHeight="1" x14ac:dyDescent="0.3">
      <c r="A637" s="33"/>
      <c r="B637" s="33"/>
      <c r="C637" s="33"/>
      <c r="D637" s="33"/>
      <c r="E637" s="33"/>
      <c r="F637" s="33"/>
      <c r="G637" s="33"/>
    </row>
    <row r="638" spans="1:7" s="54" customFormat="1" ht="11.4" customHeight="1" x14ac:dyDescent="0.3">
      <c r="A638" s="33"/>
      <c r="B638" s="33"/>
      <c r="C638" s="33"/>
      <c r="D638" s="33"/>
      <c r="E638" s="33"/>
      <c r="F638" s="33"/>
      <c r="G638" s="33"/>
    </row>
    <row r="639" spans="1:7" s="54" customFormat="1" ht="11.4" customHeight="1" x14ac:dyDescent="0.3">
      <c r="A639" s="33"/>
      <c r="B639" s="33"/>
      <c r="C639" s="33"/>
      <c r="D639" s="33"/>
      <c r="E639" s="33"/>
      <c r="F639" s="33"/>
      <c r="G639" s="33"/>
    </row>
    <row r="640" spans="1:7" s="54" customFormat="1" ht="11.4" customHeight="1" x14ac:dyDescent="0.3">
      <c r="A640" s="33"/>
      <c r="B640" s="33"/>
      <c r="C640" s="33"/>
      <c r="D640" s="33"/>
      <c r="E640" s="33"/>
      <c r="F640" s="33"/>
      <c r="G640" s="33"/>
    </row>
    <row r="641" spans="1:7" s="54" customFormat="1" ht="11.4" customHeight="1" x14ac:dyDescent="0.3">
      <c r="A641" s="33"/>
      <c r="B641" s="33"/>
      <c r="C641" s="33"/>
      <c r="D641" s="33"/>
      <c r="E641" s="33"/>
      <c r="F641" s="33"/>
      <c r="G641" s="33"/>
    </row>
    <row r="642" spans="1:7" s="54" customFormat="1" ht="11.4" customHeight="1" x14ac:dyDescent="0.3">
      <c r="A642" s="33"/>
      <c r="B642" s="33"/>
      <c r="C642" s="33"/>
      <c r="D642" s="33"/>
      <c r="E642" s="33"/>
      <c r="F642" s="33"/>
      <c r="G642" s="33"/>
    </row>
    <row r="643" spans="1:7" s="54" customFormat="1" ht="11.4" customHeight="1" x14ac:dyDescent="0.3">
      <c r="A643" s="33"/>
      <c r="B643" s="33"/>
      <c r="C643" s="33"/>
      <c r="D643" s="33"/>
      <c r="E643" s="33"/>
      <c r="F643" s="33"/>
      <c r="G643" s="33"/>
    </row>
    <row r="644" spans="1:7" s="54" customFormat="1" ht="11.4" customHeight="1" x14ac:dyDescent="0.3">
      <c r="A644" s="33"/>
      <c r="B644" s="33"/>
      <c r="C644" s="33"/>
      <c r="D644" s="33"/>
      <c r="E644" s="33"/>
      <c r="F644" s="33"/>
      <c r="G644" s="33"/>
    </row>
    <row r="645" spans="1:7" s="54" customFormat="1" ht="11.4" customHeight="1" x14ac:dyDescent="0.3">
      <c r="A645" s="33"/>
      <c r="B645" s="33"/>
      <c r="C645" s="33"/>
      <c r="D645" s="33"/>
      <c r="E645" s="33"/>
      <c r="F645" s="33"/>
      <c r="G645" s="33"/>
    </row>
    <row r="646" spans="1:7" s="54" customFormat="1" ht="11.4" customHeight="1" x14ac:dyDescent="0.3">
      <c r="A646" s="33"/>
      <c r="B646" s="33"/>
      <c r="C646" s="33"/>
      <c r="D646" s="33"/>
      <c r="E646" s="33"/>
      <c r="F646" s="33"/>
      <c r="G646" s="33"/>
    </row>
    <row r="647" spans="1:7" s="54" customFormat="1" ht="11.4" customHeight="1" x14ac:dyDescent="0.3">
      <c r="A647" s="33"/>
      <c r="B647" s="33"/>
      <c r="C647" s="33"/>
      <c r="D647" s="33"/>
      <c r="E647" s="33"/>
      <c r="F647" s="33"/>
      <c r="G647" s="33"/>
    </row>
    <row r="648" spans="1:7" s="54" customFormat="1" ht="11.4" customHeight="1" x14ac:dyDescent="0.3">
      <c r="A648" s="33"/>
      <c r="B648" s="33"/>
      <c r="C648" s="33"/>
      <c r="D648" s="33"/>
      <c r="E648" s="33"/>
      <c r="F648" s="33"/>
      <c r="G648" s="33"/>
    </row>
    <row r="649" spans="1:7" s="54" customFormat="1" ht="11.4" customHeight="1" x14ac:dyDescent="0.3">
      <c r="A649" s="33"/>
      <c r="B649" s="33"/>
      <c r="C649" s="33"/>
      <c r="D649" s="33"/>
      <c r="E649" s="33"/>
      <c r="F649" s="33"/>
      <c r="G649" s="33"/>
    </row>
    <row r="650" spans="1:7" s="54" customFormat="1" ht="11.4" customHeight="1" x14ac:dyDescent="0.3">
      <c r="A650" s="33"/>
      <c r="B650" s="33"/>
      <c r="C650" s="33"/>
      <c r="D650" s="33"/>
      <c r="E650" s="33"/>
      <c r="F650" s="33"/>
      <c r="G650" s="33"/>
    </row>
    <row r="651" spans="1:7" s="54" customFormat="1" ht="11.4" customHeight="1" x14ac:dyDescent="0.3">
      <c r="A651" s="33"/>
      <c r="B651" s="33"/>
      <c r="C651" s="33"/>
      <c r="D651" s="33"/>
      <c r="E651" s="33"/>
      <c r="F651" s="33"/>
      <c r="G651" s="33"/>
    </row>
    <row r="652" spans="1:7" s="54" customFormat="1" ht="11.4" customHeight="1" x14ac:dyDescent="0.3">
      <c r="A652" s="33"/>
      <c r="B652" s="33"/>
      <c r="C652" s="33"/>
      <c r="D652" s="33"/>
      <c r="E652" s="33"/>
      <c r="F652" s="33"/>
      <c r="G652" s="33"/>
    </row>
    <row r="653" spans="1:7" s="54" customFormat="1" ht="11.4" customHeight="1" x14ac:dyDescent="0.3">
      <c r="A653" s="33"/>
      <c r="B653" s="33"/>
      <c r="C653" s="33"/>
      <c r="D653" s="33"/>
      <c r="E653" s="33"/>
      <c r="F653" s="33"/>
      <c r="G653" s="33"/>
    </row>
    <row r="654" spans="1:7" s="54" customFormat="1" ht="11.4" customHeight="1" x14ac:dyDescent="0.3">
      <c r="A654" s="33"/>
      <c r="B654" s="33"/>
      <c r="C654" s="33"/>
      <c r="D654" s="33"/>
      <c r="E654" s="33"/>
      <c r="F654" s="33"/>
      <c r="G654" s="33"/>
    </row>
    <row r="655" spans="1:7" s="54" customFormat="1" ht="11.4" customHeight="1" x14ac:dyDescent="0.3">
      <c r="A655" s="33"/>
      <c r="B655" s="33"/>
      <c r="C655" s="33"/>
      <c r="D655" s="33"/>
      <c r="E655" s="33"/>
      <c r="F655" s="33"/>
      <c r="G655" s="33"/>
    </row>
    <row r="656" spans="1:7" s="54" customFormat="1" ht="11.4" customHeight="1" x14ac:dyDescent="0.3">
      <c r="A656" s="33"/>
      <c r="B656" s="33"/>
      <c r="C656" s="33"/>
      <c r="D656" s="33"/>
      <c r="E656" s="33"/>
      <c r="F656" s="33"/>
      <c r="G656" s="33"/>
    </row>
    <row r="657" spans="1:7" s="54" customFormat="1" ht="11.4" customHeight="1" x14ac:dyDescent="0.3">
      <c r="A657" s="33"/>
      <c r="B657" s="33"/>
      <c r="C657" s="33"/>
      <c r="D657" s="33"/>
      <c r="E657" s="33"/>
      <c r="F657" s="33"/>
      <c r="G657" s="33"/>
    </row>
    <row r="658" spans="1:7" s="54" customFormat="1" ht="11.4" customHeight="1" x14ac:dyDescent="0.3">
      <c r="A658" s="33"/>
      <c r="B658" s="33"/>
      <c r="C658" s="33"/>
      <c r="D658" s="33"/>
      <c r="E658" s="33"/>
      <c r="F658" s="33"/>
      <c r="G658" s="33"/>
    </row>
    <row r="659" spans="1:7" s="54" customFormat="1" ht="11.4" customHeight="1" x14ac:dyDescent="0.3">
      <c r="A659" s="33"/>
      <c r="B659" s="33"/>
      <c r="C659" s="33"/>
      <c r="D659" s="33"/>
      <c r="E659" s="33"/>
      <c r="F659" s="33"/>
      <c r="G659" s="33"/>
    </row>
    <row r="660" spans="1:7" s="54" customFormat="1" ht="11.4" customHeight="1" x14ac:dyDescent="0.3">
      <c r="A660" s="33"/>
      <c r="B660" s="33"/>
      <c r="C660" s="33"/>
      <c r="D660" s="33"/>
      <c r="E660" s="33"/>
      <c r="F660" s="33"/>
      <c r="G660" s="33"/>
    </row>
    <row r="661" spans="1:7" s="54" customFormat="1" ht="11.4" customHeight="1" x14ac:dyDescent="0.3">
      <c r="A661" s="33"/>
      <c r="B661" s="33"/>
      <c r="C661" s="33"/>
      <c r="D661" s="33"/>
      <c r="E661" s="33"/>
      <c r="F661" s="33"/>
      <c r="G661" s="33"/>
    </row>
    <row r="662" spans="1:7" s="54" customFormat="1" ht="11.4" customHeight="1" x14ac:dyDescent="0.3">
      <c r="A662" s="33"/>
      <c r="B662" s="33"/>
      <c r="C662" s="33"/>
      <c r="D662" s="33"/>
      <c r="E662" s="33"/>
      <c r="F662" s="33"/>
      <c r="G662" s="33"/>
    </row>
    <row r="663" spans="1:7" s="54" customFormat="1" ht="11.4" customHeight="1" x14ac:dyDescent="0.3">
      <c r="A663" s="33"/>
      <c r="B663" s="33"/>
      <c r="C663" s="33"/>
      <c r="D663" s="33"/>
      <c r="E663" s="33"/>
      <c r="F663" s="33"/>
      <c r="G663" s="33"/>
    </row>
    <row r="664" spans="1:7" s="54" customFormat="1" ht="11.4" customHeight="1" x14ac:dyDescent="0.3">
      <c r="A664" s="33"/>
      <c r="B664" s="33"/>
      <c r="C664" s="33"/>
      <c r="D664" s="33"/>
      <c r="E664" s="33"/>
      <c r="F664" s="33"/>
      <c r="G664" s="33"/>
    </row>
    <row r="665" spans="1:7" s="54" customFormat="1" ht="11.4" customHeight="1" x14ac:dyDescent="0.3">
      <c r="A665" s="33"/>
      <c r="B665" s="33"/>
      <c r="C665" s="33"/>
      <c r="D665" s="33"/>
      <c r="E665" s="33"/>
      <c r="F665" s="33"/>
      <c r="G665" s="33"/>
    </row>
    <row r="666" spans="1:7" s="54" customFormat="1" ht="11.4" customHeight="1" x14ac:dyDescent="0.3">
      <c r="A666" s="33"/>
      <c r="B666" s="33"/>
      <c r="C666" s="33"/>
      <c r="D666" s="33"/>
      <c r="E666" s="33"/>
      <c r="F666" s="33"/>
      <c r="G666" s="33"/>
    </row>
    <row r="667" spans="1:7" s="54" customFormat="1" ht="11.4" customHeight="1" x14ac:dyDescent="0.3">
      <c r="A667" s="33"/>
      <c r="B667" s="33"/>
      <c r="C667" s="33"/>
      <c r="D667" s="33"/>
      <c r="E667" s="33"/>
      <c r="F667" s="33"/>
      <c r="G667" s="33"/>
    </row>
    <row r="668" spans="1:7" s="54" customFormat="1" ht="11.4" customHeight="1" x14ac:dyDescent="0.3">
      <c r="A668" s="33"/>
      <c r="B668" s="33"/>
      <c r="C668" s="33"/>
      <c r="D668" s="33"/>
      <c r="E668" s="33"/>
      <c r="F668" s="33"/>
      <c r="G668" s="33"/>
    </row>
    <row r="669" spans="1:7" s="54" customFormat="1" ht="11.4" customHeight="1" x14ac:dyDescent="0.3">
      <c r="A669" s="33"/>
      <c r="B669" s="33"/>
      <c r="C669" s="33"/>
      <c r="D669" s="33"/>
      <c r="E669" s="33"/>
      <c r="F669" s="33"/>
      <c r="G669" s="33"/>
    </row>
    <row r="670" spans="1:7" s="54" customFormat="1" ht="11.4" customHeight="1" x14ac:dyDescent="0.3">
      <c r="A670" s="33"/>
      <c r="B670" s="33"/>
      <c r="C670" s="33"/>
      <c r="D670" s="33"/>
      <c r="E670" s="33"/>
      <c r="F670" s="33"/>
      <c r="G670" s="33"/>
    </row>
    <row r="671" spans="1:7" s="54" customFormat="1" ht="11.4" customHeight="1" x14ac:dyDescent="0.3">
      <c r="A671" s="33"/>
      <c r="B671" s="33"/>
      <c r="C671" s="33"/>
      <c r="D671" s="33"/>
      <c r="E671" s="33"/>
      <c r="F671" s="33"/>
      <c r="G671" s="33"/>
    </row>
    <row r="672" spans="1:7" s="54" customFormat="1" ht="11.4" customHeight="1" x14ac:dyDescent="0.3">
      <c r="A672" s="33"/>
      <c r="B672" s="33"/>
      <c r="C672" s="33"/>
      <c r="D672" s="33"/>
      <c r="E672" s="33"/>
      <c r="F672" s="33"/>
      <c r="G672" s="33"/>
    </row>
    <row r="673" spans="1:7" s="54" customFormat="1" ht="11.4" customHeight="1" x14ac:dyDescent="0.3">
      <c r="A673" s="33"/>
      <c r="B673" s="33"/>
      <c r="C673" s="33"/>
      <c r="D673" s="33"/>
      <c r="E673" s="33"/>
      <c r="F673" s="33"/>
      <c r="G673" s="33"/>
    </row>
    <row r="674" spans="1:7" s="54" customFormat="1" ht="11.4" customHeight="1" x14ac:dyDescent="0.3">
      <c r="A674" s="33"/>
      <c r="B674" s="33"/>
      <c r="C674" s="33"/>
      <c r="D674" s="33"/>
      <c r="E674" s="33"/>
      <c r="F674" s="33"/>
      <c r="G674" s="33"/>
    </row>
    <row r="675" spans="1:7" s="54" customFormat="1" ht="11.4" customHeight="1" x14ac:dyDescent="0.3">
      <c r="A675" s="33"/>
      <c r="B675" s="33"/>
      <c r="C675" s="33"/>
      <c r="D675" s="33"/>
      <c r="E675" s="33"/>
      <c r="F675" s="33"/>
      <c r="G675" s="33"/>
    </row>
    <row r="676" spans="1:7" s="54" customFormat="1" ht="11.4" customHeight="1" x14ac:dyDescent="0.3">
      <c r="A676" s="33"/>
      <c r="B676" s="33"/>
      <c r="C676" s="33"/>
      <c r="D676" s="33"/>
      <c r="E676" s="33"/>
      <c r="F676" s="33"/>
      <c r="G676" s="33"/>
    </row>
    <row r="677" spans="1:7" s="54" customFormat="1" ht="11.4" customHeight="1" x14ac:dyDescent="0.3">
      <c r="A677" s="33"/>
      <c r="B677" s="33"/>
      <c r="C677" s="33"/>
      <c r="D677" s="33"/>
      <c r="E677" s="33"/>
      <c r="F677" s="33"/>
      <c r="G677" s="33"/>
    </row>
    <row r="678" spans="1:7" s="54" customFormat="1" ht="11.4" customHeight="1" x14ac:dyDescent="0.3">
      <c r="A678" s="33"/>
      <c r="B678" s="33"/>
      <c r="C678" s="33"/>
      <c r="D678" s="33"/>
      <c r="E678" s="33"/>
      <c r="F678" s="33"/>
      <c r="G678" s="33"/>
    </row>
    <row r="679" spans="1:7" s="54" customFormat="1" ht="11.4" customHeight="1" x14ac:dyDescent="0.3">
      <c r="A679" s="33"/>
      <c r="B679" s="33"/>
      <c r="C679" s="33"/>
      <c r="D679" s="33"/>
      <c r="E679" s="33"/>
      <c r="F679" s="33"/>
      <c r="G679" s="33"/>
    </row>
    <row r="680" spans="1:7" s="54" customFormat="1" ht="11.4" customHeight="1" x14ac:dyDescent="0.3">
      <c r="A680" s="33"/>
      <c r="B680" s="33"/>
      <c r="C680" s="33"/>
      <c r="D680" s="33"/>
      <c r="E680" s="33"/>
      <c r="F680" s="33"/>
      <c r="G680" s="33"/>
    </row>
    <row r="681" spans="1:7" s="54" customFormat="1" ht="11.4" customHeight="1" x14ac:dyDescent="0.3">
      <c r="A681" s="33"/>
      <c r="B681" s="33"/>
      <c r="C681" s="33"/>
      <c r="D681" s="33"/>
      <c r="E681" s="33"/>
      <c r="F681" s="33"/>
      <c r="G681" s="33"/>
    </row>
    <row r="682" spans="1:7" s="54" customFormat="1" ht="11.4" customHeight="1" x14ac:dyDescent="0.3">
      <c r="A682" s="33"/>
      <c r="B682" s="33"/>
      <c r="C682" s="33"/>
      <c r="D682" s="33"/>
      <c r="E682" s="33"/>
      <c r="F682" s="33"/>
      <c r="G682" s="33"/>
    </row>
    <row r="683" spans="1:7" s="54" customFormat="1" ht="11.4" customHeight="1" x14ac:dyDescent="0.3">
      <c r="A683" s="33"/>
      <c r="B683" s="33"/>
      <c r="C683" s="33"/>
      <c r="D683" s="33"/>
      <c r="E683" s="33"/>
      <c r="F683" s="33"/>
      <c r="G683" s="33"/>
    </row>
    <row r="684" spans="1:7" s="54" customFormat="1" ht="11.4" customHeight="1" x14ac:dyDescent="0.3">
      <c r="A684" s="33"/>
      <c r="B684" s="33"/>
      <c r="C684" s="33"/>
      <c r="D684" s="33"/>
      <c r="E684" s="33"/>
      <c r="F684" s="33"/>
      <c r="G684" s="33"/>
    </row>
    <row r="685" spans="1:7" s="54" customFormat="1" ht="11.4" customHeight="1" x14ac:dyDescent="0.3">
      <c r="A685" s="33"/>
      <c r="B685" s="33"/>
      <c r="C685" s="33"/>
      <c r="D685" s="33"/>
      <c r="E685" s="33"/>
      <c r="F685" s="33"/>
      <c r="G685" s="33"/>
    </row>
    <row r="686" spans="1:7" s="54" customFormat="1" ht="11.4" customHeight="1" x14ac:dyDescent="0.3">
      <c r="A686" s="33"/>
      <c r="B686" s="33"/>
      <c r="C686" s="33"/>
      <c r="D686" s="33"/>
      <c r="E686" s="33"/>
      <c r="F686" s="33"/>
      <c r="G686" s="33"/>
    </row>
    <row r="687" spans="1:7" s="54" customFormat="1" ht="11.4" customHeight="1" x14ac:dyDescent="0.3">
      <c r="A687" s="33"/>
      <c r="B687" s="33"/>
      <c r="C687" s="33"/>
      <c r="D687" s="33"/>
      <c r="E687" s="33"/>
      <c r="F687" s="33"/>
      <c r="G687" s="33"/>
    </row>
    <row r="688" spans="1:7" s="54" customFormat="1" ht="11.4" customHeight="1" x14ac:dyDescent="0.3">
      <c r="A688" s="33"/>
      <c r="B688" s="33"/>
      <c r="C688" s="33"/>
      <c r="D688" s="33"/>
      <c r="E688" s="33"/>
      <c r="F688" s="33"/>
      <c r="G688" s="33"/>
    </row>
    <row r="689" spans="1:7" s="54" customFormat="1" ht="11.4" customHeight="1" x14ac:dyDescent="0.3">
      <c r="A689" s="33"/>
      <c r="B689" s="33"/>
      <c r="C689" s="33"/>
      <c r="D689" s="33"/>
      <c r="E689" s="33"/>
      <c r="F689" s="33"/>
      <c r="G689" s="33"/>
    </row>
    <row r="690" spans="1:7" s="54" customFormat="1" ht="11.4" customHeight="1" x14ac:dyDescent="0.3">
      <c r="A690" s="33"/>
      <c r="B690" s="33"/>
      <c r="C690" s="33"/>
      <c r="D690" s="33"/>
      <c r="E690" s="33"/>
      <c r="F690" s="33"/>
      <c r="G690" s="33"/>
    </row>
    <row r="691" spans="1:7" s="54" customFormat="1" ht="11.4" customHeight="1" x14ac:dyDescent="0.3">
      <c r="A691" s="33"/>
      <c r="B691" s="33"/>
      <c r="C691" s="33"/>
      <c r="D691" s="33"/>
      <c r="E691" s="33"/>
      <c r="F691" s="33"/>
      <c r="G691" s="33"/>
    </row>
    <row r="692" spans="1:7" s="54" customFormat="1" ht="11.4" customHeight="1" x14ac:dyDescent="0.3">
      <c r="A692" s="33"/>
      <c r="B692" s="33"/>
      <c r="C692" s="33"/>
      <c r="D692" s="33"/>
      <c r="E692" s="33"/>
      <c r="F692" s="33"/>
      <c r="G692" s="33"/>
    </row>
    <row r="693" spans="1:7" s="54" customFormat="1" ht="11.4" customHeight="1" x14ac:dyDescent="0.3">
      <c r="A693" s="33"/>
      <c r="B693" s="33"/>
      <c r="C693" s="33"/>
      <c r="D693" s="33"/>
      <c r="E693" s="33"/>
      <c r="F693" s="33"/>
      <c r="G693" s="33"/>
    </row>
    <row r="694" spans="1:7" s="54" customFormat="1" ht="11.4" customHeight="1" x14ac:dyDescent="0.3">
      <c r="A694" s="33"/>
      <c r="B694" s="33"/>
      <c r="C694" s="33"/>
      <c r="D694" s="33"/>
      <c r="E694" s="33"/>
      <c r="F694" s="33"/>
      <c r="G694" s="33"/>
    </row>
    <row r="695" spans="1:7" s="54" customFormat="1" ht="11.4" customHeight="1" x14ac:dyDescent="0.3">
      <c r="A695" s="33"/>
      <c r="B695" s="33"/>
      <c r="C695" s="33"/>
      <c r="D695" s="33"/>
      <c r="E695" s="33"/>
      <c r="F695" s="33"/>
      <c r="G695" s="33"/>
    </row>
    <row r="696" spans="1:7" s="54" customFormat="1" ht="11.4" customHeight="1" x14ac:dyDescent="0.3">
      <c r="A696" s="33"/>
      <c r="B696" s="33"/>
      <c r="C696" s="33"/>
      <c r="D696" s="33"/>
      <c r="E696" s="33"/>
      <c r="F696" s="33"/>
      <c r="G696" s="33"/>
    </row>
    <row r="697" spans="1:7" s="54" customFormat="1" ht="11.4" customHeight="1" x14ac:dyDescent="0.3">
      <c r="A697" s="33"/>
      <c r="B697" s="33"/>
      <c r="C697" s="33"/>
      <c r="D697" s="33"/>
      <c r="E697" s="33"/>
      <c r="F697" s="33"/>
      <c r="G697" s="33"/>
    </row>
    <row r="698" spans="1:7" s="54" customFormat="1" ht="11.4" customHeight="1" x14ac:dyDescent="0.3">
      <c r="A698" s="33"/>
      <c r="B698" s="33"/>
      <c r="C698" s="33"/>
      <c r="D698" s="33"/>
      <c r="E698" s="33"/>
      <c r="F698" s="33"/>
      <c r="G698" s="33"/>
    </row>
    <row r="699" spans="1:7" s="54" customFormat="1" ht="11.4" customHeight="1" x14ac:dyDescent="0.3">
      <c r="A699" s="33"/>
      <c r="B699" s="33"/>
      <c r="C699" s="33"/>
      <c r="D699" s="33"/>
      <c r="E699" s="33"/>
      <c r="F699" s="33"/>
      <c r="G699" s="33"/>
    </row>
    <row r="700" spans="1:7" s="54" customFormat="1" ht="11.4" customHeight="1" x14ac:dyDescent="0.3">
      <c r="A700" s="33"/>
      <c r="B700" s="33"/>
      <c r="C700" s="33"/>
      <c r="D700" s="33"/>
      <c r="E700" s="33"/>
      <c r="F700" s="33"/>
      <c r="G700" s="33"/>
    </row>
    <row r="701" spans="1:7" s="54" customFormat="1" ht="11.4" customHeight="1" x14ac:dyDescent="0.3">
      <c r="A701" s="33"/>
      <c r="B701" s="33"/>
      <c r="C701" s="33"/>
      <c r="D701" s="33"/>
      <c r="E701" s="33"/>
      <c r="F701" s="33"/>
      <c r="G701" s="33"/>
    </row>
    <row r="702" spans="1:7" s="54" customFormat="1" ht="11.4" customHeight="1" x14ac:dyDescent="0.3">
      <c r="A702" s="33"/>
      <c r="B702" s="33"/>
      <c r="C702" s="33"/>
      <c r="D702" s="33"/>
      <c r="E702" s="33"/>
      <c r="F702" s="33"/>
      <c r="G702" s="33"/>
    </row>
    <row r="703" spans="1:7" s="54" customFormat="1" ht="11.4" customHeight="1" x14ac:dyDescent="0.3">
      <c r="A703" s="33"/>
      <c r="B703" s="33"/>
      <c r="C703" s="33"/>
      <c r="D703" s="33"/>
      <c r="E703" s="33"/>
      <c r="F703" s="33"/>
      <c r="G703" s="33"/>
    </row>
    <row r="704" spans="1:7" s="54" customFormat="1" ht="11.4" customHeight="1" x14ac:dyDescent="0.3">
      <c r="A704" s="33"/>
      <c r="B704" s="33"/>
      <c r="C704" s="33"/>
      <c r="D704" s="33"/>
      <c r="E704" s="33"/>
      <c r="F704" s="33"/>
      <c r="G704" s="33"/>
    </row>
    <row r="705" spans="1:7" s="54" customFormat="1" ht="11.4" customHeight="1" x14ac:dyDescent="0.3">
      <c r="A705" s="33"/>
      <c r="B705" s="33"/>
      <c r="C705" s="33"/>
      <c r="D705" s="33"/>
      <c r="E705" s="33"/>
      <c r="F705" s="33"/>
      <c r="G705" s="33"/>
    </row>
    <row r="706" spans="1:7" s="54" customFormat="1" ht="11.4" customHeight="1" x14ac:dyDescent="0.3">
      <c r="A706" s="33"/>
      <c r="B706" s="33"/>
      <c r="C706" s="33"/>
      <c r="D706" s="33"/>
      <c r="E706" s="33"/>
      <c r="F706" s="33"/>
      <c r="G706" s="33"/>
    </row>
    <row r="707" spans="1:7" s="54" customFormat="1" ht="11.4" customHeight="1" x14ac:dyDescent="0.3">
      <c r="A707" s="33"/>
      <c r="B707" s="33"/>
      <c r="C707" s="33"/>
      <c r="D707" s="33"/>
      <c r="E707" s="33"/>
      <c r="F707" s="33"/>
      <c r="G707" s="33"/>
    </row>
    <row r="708" spans="1:7" s="54" customFormat="1" ht="11.4" customHeight="1" x14ac:dyDescent="0.3">
      <c r="A708" s="33"/>
      <c r="B708" s="33"/>
      <c r="C708" s="33"/>
      <c r="D708" s="33"/>
      <c r="E708" s="33"/>
      <c r="F708" s="33"/>
      <c r="G708" s="33"/>
    </row>
    <row r="709" spans="1:7" s="54" customFormat="1" ht="11.4" customHeight="1" x14ac:dyDescent="0.3">
      <c r="A709" s="33"/>
      <c r="B709" s="33"/>
      <c r="C709" s="33"/>
      <c r="D709" s="33"/>
      <c r="E709" s="33"/>
      <c r="F709" s="33"/>
      <c r="G709" s="33"/>
    </row>
    <row r="710" spans="1:7" s="54" customFormat="1" ht="11.4" customHeight="1" x14ac:dyDescent="0.3">
      <c r="A710" s="33"/>
      <c r="B710" s="33"/>
      <c r="C710" s="33"/>
      <c r="D710" s="33"/>
      <c r="E710" s="33"/>
      <c r="F710" s="33"/>
      <c r="G710" s="33"/>
    </row>
    <row r="711" spans="1:7" s="54" customFormat="1" ht="11.4" customHeight="1" x14ac:dyDescent="0.3">
      <c r="A711" s="33"/>
      <c r="B711" s="33"/>
      <c r="C711" s="33"/>
      <c r="D711" s="33"/>
      <c r="E711" s="33"/>
      <c r="F711" s="33"/>
      <c r="G711" s="33"/>
    </row>
    <row r="712" spans="1:7" s="54" customFormat="1" ht="11.4" customHeight="1" x14ac:dyDescent="0.3">
      <c r="A712" s="33"/>
      <c r="B712" s="33"/>
      <c r="C712" s="33"/>
      <c r="D712" s="33"/>
      <c r="E712" s="33"/>
      <c r="F712" s="33"/>
      <c r="G712" s="33"/>
    </row>
    <row r="713" spans="1:7" s="54" customFormat="1" ht="11.4" customHeight="1" x14ac:dyDescent="0.3">
      <c r="A713" s="33"/>
      <c r="B713" s="33"/>
      <c r="C713" s="33"/>
      <c r="D713" s="33"/>
      <c r="E713" s="33"/>
      <c r="F713" s="33"/>
      <c r="G713" s="33"/>
    </row>
    <row r="714" spans="1:7" s="54" customFormat="1" ht="11.4" customHeight="1" x14ac:dyDescent="0.3">
      <c r="A714" s="33"/>
      <c r="B714" s="33"/>
      <c r="C714" s="33"/>
      <c r="D714" s="33"/>
      <c r="E714" s="33"/>
      <c r="F714" s="33"/>
      <c r="G714" s="33"/>
    </row>
    <row r="715" spans="1:7" s="54" customFormat="1" ht="11.4" customHeight="1" x14ac:dyDescent="0.3">
      <c r="A715" s="33"/>
      <c r="B715" s="33"/>
      <c r="C715" s="33"/>
      <c r="D715" s="33"/>
      <c r="E715" s="33"/>
      <c r="F715" s="33"/>
      <c r="G715" s="33"/>
    </row>
    <row r="716" spans="1:7" s="54" customFormat="1" ht="11.4" customHeight="1" x14ac:dyDescent="0.3">
      <c r="A716" s="33"/>
      <c r="B716" s="33"/>
      <c r="C716" s="33"/>
      <c r="D716" s="33"/>
      <c r="E716" s="33"/>
      <c r="F716" s="33"/>
      <c r="G716" s="33"/>
    </row>
    <row r="717" spans="1:7" s="54" customFormat="1" ht="11.4" customHeight="1" x14ac:dyDescent="0.3">
      <c r="A717" s="33"/>
      <c r="B717" s="33"/>
      <c r="C717" s="33"/>
      <c r="D717" s="33"/>
      <c r="E717" s="33"/>
      <c r="F717" s="33"/>
      <c r="G717" s="33"/>
    </row>
    <row r="718" spans="1:7" s="54" customFormat="1" ht="11.4" customHeight="1" x14ac:dyDescent="0.3">
      <c r="A718" s="33"/>
      <c r="B718" s="33"/>
      <c r="C718" s="33"/>
      <c r="D718" s="33"/>
      <c r="E718" s="33"/>
      <c r="F718" s="33"/>
      <c r="G718" s="33"/>
    </row>
    <row r="719" spans="1:7" s="54" customFormat="1" ht="11.4" customHeight="1" x14ac:dyDescent="0.3">
      <c r="A719" s="33"/>
      <c r="B719" s="33"/>
      <c r="C719" s="33"/>
      <c r="D719" s="33"/>
      <c r="E719" s="33"/>
      <c r="F719" s="33"/>
      <c r="G719" s="33"/>
    </row>
    <row r="720" spans="1:7" s="54" customFormat="1" ht="11.4" customHeight="1" x14ac:dyDescent="0.3">
      <c r="A720" s="33"/>
      <c r="B720" s="33"/>
      <c r="C720" s="33"/>
      <c r="D720" s="33"/>
      <c r="E720" s="33"/>
      <c r="F720" s="33"/>
      <c r="G720" s="33"/>
    </row>
    <row r="721" spans="1:7" s="54" customFormat="1" ht="11.4" customHeight="1" x14ac:dyDescent="0.3">
      <c r="A721" s="33"/>
      <c r="B721" s="33"/>
      <c r="C721" s="33"/>
      <c r="D721" s="33"/>
      <c r="E721" s="33"/>
      <c r="F721" s="33"/>
      <c r="G721" s="33"/>
    </row>
    <row r="722" spans="1:7" s="54" customFormat="1" ht="11.4" customHeight="1" x14ac:dyDescent="0.3">
      <c r="A722" s="33"/>
      <c r="B722" s="33"/>
      <c r="C722" s="33"/>
      <c r="D722" s="33"/>
      <c r="E722" s="33"/>
      <c r="F722" s="33"/>
      <c r="G722" s="33"/>
    </row>
    <row r="723" spans="1:7" s="54" customFormat="1" ht="11.4" customHeight="1" x14ac:dyDescent="0.3">
      <c r="A723" s="33"/>
      <c r="B723" s="33"/>
      <c r="C723" s="33"/>
      <c r="D723" s="33"/>
      <c r="E723" s="33"/>
      <c r="F723" s="33"/>
      <c r="G723" s="33"/>
    </row>
    <row r="724" spans="1:7" s="54" customFormat="1" ht="11.4" customHeight="1" x14ac:dyDescent="0.3">
      <c r="A724" s="33"/>
      <c r="B724" s="33"/>
      <c r="C724" s="33"/>
      <c r="D724" s="33"/>
      <c r="E724" s="33"/>
      <c r="F724" s="33"/>
      <c r="G724" s="33"/>
    </row>
    <row r="725" spans="1:7" s="54" customFormat="1" ht="11.4" customHeight="1" x14ac:dyDescent="0.3">
      <c r="A725" s="33"/>
      <c r="B725" s="33"/>
      <c r="C725" s="33"/>
      <c r="D725" s="33"/>
      <c r="E725" s="33"/>
      <c r="F725" s="33"/>
      <c r="G725" s="33"/>
    </row>
    <row r="726" spans="1:7" s="54" customFormat="1" ht="11.4" customHeight="1" x14ac:dyDescent="0.3">
      <c r="A726" s="33"/>
      <c r="B726" s="33"/>
      <c r="C726" s="33"/>
      <c r="D726" s="33"/>
      <c r="E726" s="33"/>
      <c r="F726" s="33"/>
      <c r="G726" s="33"/>
    </row>
    <row r="727" spans="1:7" s="54" customFormat="1" ht="11.4" customHeight="1" x14ac:dyDescent="0.3">
      <c r="A727" s="33"/>
      <c r="B727" s="33"/>
      <c r="C727" s="33"/>
      <c r="D727" s="33"/>
      <c r="E727" s="33"/>
      <c r="F727" s="33"/>
      <c r="G727" s="33"/>
    </row>
    <row r="728" spans="1:7" s="54" customFormat="1" ht="11.4" customHeight="1" x14ac:dyDescent="0.3">
      <c r="A728" s="33"/>
      <c r="B728" s="33"/>
      <c r="C728" s="33"/>
      <c r="D728" s="33"/>
      <c r="E728" s="33"/>
      <c r="F728" s="33"/>
      <c r="G728" s="33"/>
    </row>
    <row r="729" spans="1:7" s="54" customFormat="1" ht="11.4" customHeight="1" x14ac:dyDescent="0.3">
      <c r="A729" s="33"/>
      <c r="B729" s="33"/>
      <c r="C729" s="33"/>
      <c r="D729" s="33"/>
      <c r="E729" s="33"/>
      <c r="F729" s="33"/>
      <c r="G729" s="33"/>
    </row>
    <row r="730" spans="1:7" s="54" customFormat="1" ht="11.4" customHeight="1" x14ac:dyDescent="0.3">
      <c r="A730" s="33"/>
      <c r="B730" s="33"/>
      <c r="C730" s="33"/>
      <c r="D730" s="33"/>
      <c r="E730" s="33"/>
      <c r="F730" s="33"/>
      <c r="G730" s="33"/>
    </row>
    <row r="731" spans="1:7" s="54" customFormat="1" ht="11.4" customHeight="1" x14ac:dyDescent="0.3">
      <c r="A731" s="33"/>
      <c r="B731" s="33"/>
      <c r="C731" s="33"/>
      <c r="D731" s="33"/>
      <c r="E731" s="33"/>
      <c r="F731" s="33"/>
      <c r="G731" s="33"/>
    </row>
    <row r="732" spans="1:7" s="54" customFormat="1" ht="11.4" customHeight="1" x14ac:dyDescent="0.3">
      <c r="A732" s="33"/>
      <c r="B732" s="33"/>
      <c r="C732" s="33"/>
      <c r="D732" s="33"/>
      <c r="E732" s="33"/>
      <c r="F732" s="33"/>
      <c r="G732" s="33"/>
    </row>
    <row r="733" spans="1:7" s="54" customFormat="1" ht="11.4" customHeight="1" x14ac:dyDescent="0.3">
      <c r="A733" s="33"/>
      <c r="B733" s="33"/>
      <c r="C733" s="33"/>
      <c r="D733" s="33"/>
      <c r="E733" s="33"/>
      <c r="F733" s="33"/>
      <c r="G733" s="33"/>
    </row>
    <row r="734" spans="1:7" s="54" customFormat="1" ht="11.4" customHeight="1" x14ac:dyDescent="0.3">
      <c r="A734" s="33"/>
      <c r="B734" s="33"/>
      <c r="C734" s="33"/>
      <c r="D734" s="33"/>
      <c r="E734" s="33"/>
      <c r="F734" s="33"/>
      <c r="G734" s="33"/>
    </row>
    <row r="735" spans="1:7" s="54" customFormat="1" ht="11.4" customHeight="1" x14ac:dyDescent="0.3">
      <c r="A735" s="33"/>
      <c r="B735" s="33"/>
      <c r="C735" s="33"/>
      <c r="D735" s="33"/>
      <c r="E735" s="33"/>
      <c r="F735" s="33"/>
      <c r="G735" s="33"/>
    </row>
    <row r="736" spans="1:7" s="54" customFormat="1" ht="11.4" customHeight="1" x14ac:dyDescent="0.3">
      <c r="A736" s="33"/>
      <c r="B736" s="33"/>
      <c r="C736" s="33"/>
      <c r="D736" s="33"/>
      <c r="E736" s="33"/>
      <c r="F736" s="33"/>
      <c r="G736" s="33"/>
    </row>
    <row r="737" spans="1:7" s="54" customFormat="1" ht="11.4" customHeight="1" x14ac:dyDescent="0.3">
      <c r="A737" s="33"/>
      <c r="B737" s="33"/>
      <c r="C737" s="33"/>
      <c r="D737" s="33"/>
      <c r="E737" s="33"/>
      <c r="F737" s="33"/>
      <c r="G737" s="33"/>
    </row>
    <row r="738" spans="1:7" s="54" customFormat="1" ht="11.4" customHeight="1" x14ac:dyDescent="0.3">
      <c r="A738" s="33"/>
      <c r="B738" s="33"/>
      <c r="C738" s="33"/>
      <c r="D738" s="33"/>
      <c r="E738" s="33"/>
      <c r="F738" s="33"/>
      <c r="G738" s="33"/>
    </row>
    <row r="739" spans="1:7" s="54" customFormat="1" ht="11.4" customHeight="1" x14ac:dyDescent="0.3">
      <c r="A739" s="33"/>
      <c r="B739" s="33"/>
      <c r="C739" s="33"/>
      <c r="D739" s="33"/>
      <c r="E739" s="33"/>
      <c r="F739" s="33"/>
      <c r="G739" s="33"/>
    </row>
    <row r="740" spans="1:7" s="54" customFormat="1" ht="11.4" customHeight="1" x14ac:dyDescent="0.3">
      <c r="A740" s="33"/>
      <c r="B740" s="33"/>
      <c r="C740" s="33"/>
      <c r="D740" s="33"/>
      <c r="E740" s="33"/>
      <c r="F740" s="33"/>
      <c r="G740" s="33"/>
    </row>
    <row r="741" spans="1:7" s="54" customFormat="1" ht="11.4" customHeight="1" x14ac:dyDescent="0.3">
      <c r="A741" s="33"/>
      <c r="B741" s="33"/>
      <c r="C741" s="33"/>
      <c r="D741" s="33"/>
      <c r="E741" s="33"/>
      <c r="F741" s="33"/>
      <c r="G741" s="33"/>
    </row>
    <row r="742" spans="1:7" s="54" customFormat="1" ht="11.4" customHeight="1" x14ac:dyDescent="0.3">
      <c r="A742" s="33"/>
      <c r="B742" s="33"/>
      <c r="C742" s="33"/>
      <c r="D742" s="33"/>
      <c r="E742" s="33"/>
      <c r="F742" s="33"/>
      <c r="G742" s="33"/>
    </row>
    <row r="743" spans="1:7" s="54" customFormat="1" ht="11.4" customHeight="1" x14ac:dyDescent="0.3">
      <c r="A743" s="33"/>
      <c r="B743" s="33"/>
      <c r="C743" s="33"/>
      <c r="D743" s="33"/>
      <c r="E743" s="33"/>
      <c r="F743" s="33"/>
      <c r="G743" s="33"/>
    </row>
    <row r="744" spans="1:7" s="54" customFormat="1" ht="11.4" customHeight="1" x14ac:dyDescent="0.3">
      <c r="A744" s="33"/>
      <c r="B744" s="33"/>
      <c r="C744" s="33"/>
      <c r="D744" s="33"/>
      <c r="E744" s="33"/>
      <c r="F744" s="33"/>
      <c r="G744" s="33"/>
    </row>
    <row r="745" spans="1:7" s="54" customFormat="1" ht="11.4" customHeight="1" x14ac:dyDescent="0.3">
      <c r="A745" s="33"/>
      <c r="B745" s="33"/>
      <c r="C745" s="33"/>
      <c r="D745" s="33"/>
      <c r="E745" s="33"/>
      <c r="F745" s="33"/>
      <c r="G745" s="33"/>
    </row>
    <row r="746" spans="1:7" s="54" customFormat="1" ht="11.4" customHeight="1" x14ac:dyDescent="0.3">
      <c r="A746" s="33"/>
      <c r="B746" s="33"/>
      <c r="C746" s="33"/>
      <c r="D746" s="33"/>
      <c r="E746" s="33"/>
      <c r="F746" s="33"/>
      <c r="G746" s="33"/>
    </row>
    <row r="747" spans="1:7" s="54" customFormat="1" ht="11.4" customHeight="1" x14ac:dyDescent="0.3">
      <c r="A747" s="33"/>
      <c r="B747" s="33"/>
      <c r="C747" s="33"/>
      <c r="D747" s="33"/>
      <c r="E747" s="33"/>
      <c r="F747" s="33"/>
      <c r="G747" s="33"/>
    </row>
    <row r="748" spans="1:7" s="54" customFormat="1" ht="11.4" customHeight="1" x14ac:dyDescent="0.3">
      <c r="A748" s="33"/>
      <c r="B748" s="33"/>
      <c r="C748" s="33"/>
      <c r="D748" s="33"/>
      <c r="E748" s="33"/>
      <c r="F748" s="33"/>
      <c r="G748" s="33"/>
    </row>
    <row r="749" spans="1:7" s="54" customFormat="1" ht="11.4" customHeight="1" x14ac:dyDescent="0.3">
      <c r="A749" s="33"/>
      <c r="B749" s="33"/>
      <c r="C749" s="33"/>
      <c r="D749" s="33"/>
      <c r="E749" s="33"/>
      <c r="F749" s="33"/>
      <c r="G749" s="33"/>
    </row>
    <row r="750" spans="1:7" s="54" customFormat="1" ht="11.4" customHeight="1" x14ac:dyDescent="0.3">
      <c r="A750" s="33"/>
      <c r="B750" s="33"/>
      <c r="C750" s="33"/>
      <c r="D750" s="33"/>
      <c r="E750" s="33"/>
      <c r="F750" s="33"/>
      <c r="G750" s="33"/>
    </row>
    <row r="751" spans="1:7" s="54" customFormat="1" ht="11.4" customHeight="1" x14ac:dyDescent="0.3">
      <c r="A751" s="33"/>
      <c r="B751" s="33"/>
      <c r="C751" s="33"/>
      <c r="D751" s="33"/>
      <c r="E751" s="33"/>
      <c r="F751" s="33"/>
      <c r="G751" s="33"/>
    </row>
    <row r="752" spans="1:7" s="54" customFormat="1" ht="11.4" customHeight="1" x14ac:dyDescent="0.3">
      <c r="A752" s="33"/>
      <c r="B752" s="33"/>
      <c r="C752" s="33"/>
      <c r="D752" s="33"/>
      <c r="E752" s="33"/>
      <c r="F752" s="33"/>
      <c r="G752" s="33"/>
    </row>
    <row r="753" spans="1:7" s="54" customFormat="1" ht="11.4" customHeight="1" x14ac:dyDescent="0.3">
      <c r="A753" s="33"/>
      <c r="B753" s="33"/>
      <c r="C753" s="33"/>
      <c r="D753" s="33"/>
      <c r="E753" s="33"/>
      <c r="F753" s="33"/>
      <c r="G753" s="33"/>
    </row>
    <row r="754" spans="1:7" s="54" customFormat="1" ht="11.4" customHeight="1" x14ac:dyDescent="0.3">
      <c r="A754" s="33"/>
      <c r="B754" s="33"/>
      <c r="C754" s="33"/>
      <c r="D754" s="33"/>
      <c r="E754" s="33"/>
      <c r="F754" s="33"/>
      <c r="G754" s="33"/>
    </row>
    <row r="755" spans="1:7" s="54" customFormat="1" ht="11.4" customHeight="1" x14ac:dyDescent="0.3">
      <c r="A755" s="33"/>
      <c r="B755" s="33"/>
      <c r="C755" s="33"/>
      <c r="D755" s="33"/>
      <c r="E755" s="33"/>
      <c r="F755" s="33"/>
      <c r="G755" s="33"/>
    </row>
    <row r="756" spans="1:7" s="54" customFormat="1" ht="11.4" customHeight="1" x14ac:dyDescent="0.3">
      <c r="A756" s="33"/>
      <c r="B756" s="33"/>
      <c r="C756" s="33"/>
      <c r="D756" s="33"/>
      <c r="E756" s="33"/>
      <c r="F756" s="33"/>
      <c r="G756" s="33"/>
    </row>
    <row r="757" spans="1:7" s="54" customFormat="1" ht="11.4" customHeight="1" x14ac:dyDescent="0.3">
      <c r="A757" s="33"/>
      <c r="B757" s="33"/>
      <c r="C757" s="33"/>
      <c r="D757" s="33"/>
      <c r="E757" s="33"/>
      <c r="F757" s="33"/>
      <c r="G757" s="33"/>
    </row>
    <row r="758" spans="1:7" s="54" customFormat="1" ht="11.4" customHeight="1" x14ac:dyDescent="0.3">
      <c r="A758" s="33"/>
      <c r="B758" s="33"/>
      <c r="C758" s="33"/>
      <c r="D758" s="33"/>
      <c r="E758" s="33"/>
      <c r="F758" s="33"/>
      <c r="G758" s="33"/>
    </row>
    <row r="759" spans="1:7" s="54" customFormat="1" ht="11.4" customHeight="1" x14ac:dyDescent="0.3">
      <c r="A759" s="33"/>
      <c r="B759" s="33"/>
      <c r="C759" s="33"/>
      <c r="D759" s="33"/>
      <c r="E759" s="33"/>
      <c r="F759" s="33"/>
      <c r="G759" s="33"/>
    </row>
    <row r="760" spans="1:7" s="54" customFormat="1" ht="11.4" customHeight="1" x14ac:dyDescent="0.3">
      <c r="A760" s="33"/>
      <c r="B760" s="33"/>
      <c r="C760" s="33"/>
      <c r="D760" s="33"/>
      <c r="E760" s="33"/>
      <c r="F760" s="33"/>
      <c r="G760" s="33"/>
    </row>
    <row r="761" spans="1:7" s="54" customFormat="1" ht="11.4" customHeight="1" x14ac:dyDescent="0.3">
      <c r="A761" s="33"/>
      <c r="B761" s="33"/>
      <c r="C761" s="33"/>
      <c r="D761" s="33"/>
      <c r="E761" s="33"/>
      <c r="F761" s="33"/>
      <c r="G761" s="33"/>
    </row>
    <row r="762" spans="1:7" s="54" customFormat="1" ht="11.4" customHeight="1" x14ac:dyDescent="0.3">
      <c r="A762" s="33"/>
      <c r="B762" s="33"/>
      <c r="C762" s="33"/>
      <c r="D762" s="33"/>
      <c r="E762" s="33"/>
      <c r="F762" s="33"/>
      <c r="G762" s="33"/>
    </row>
    <row r="763" spans="1:7" s="54" customFormat="1" ht="11.4" customHeight="1" x14ac:dyDescent="0.3">
      <c r="A763" s="33"/>
      <c r="B763" s="33"/>
      <c r="C763" s="33"/>
      <c r="D763" s="33"/>
      <c r="E763" s="33"/>
      <c r="F763" s="33"/>
      <c r="G763" s="33"/>
    </row>
    <row r="764" spans="1:7" s="54" customFormat="1" ht="11.4" customHeight="1" x14ac:dyDescent="0.3">
      <c r="A764" s="33"/>
      <c r="B764" s="33"/>
      <c r="C764" s="33"/>
      <c r="D764" s="33"/>
      <c r="E764" s="33"/>
      <c r="F764" s="33"/>
      <c r="G764" s="33"/>
    </row>
    <row r="765" spans="1:7" s="54" customFormat="1" ht="11.4" customHeight="1" x14ac:dyDescent="0.3">
      <c r="A765" s="33"/>
      <c r="B765" s="33"/>
      <c r="C765" s="33"/>
      <c r="D765" s="33"/>
      <c r="E765" s="33"/>
      <c r="F765" s="33"/>
      <c r="G765" s="33"/>
    </row>
    <row r="766" spans="1:7" s="54" customFormat="1" ht="11.4" customHeight="1" x14ac:dyDescent="0.3">
      <c r="A766" s="33"/>
      <c r="B766" s="33"/>
      <c r="C766" s="33"/>
      <c r="D766" s="33"/>
      <c r="E766" s="33"/>
      <c r="F766" s="33"/>
      <c r="G766" s="33"/>
    </row>
    <row r="767" spans="1:7" s="54" customFormat="1" ht="11.4" customHeight="1" x14ac:dyDescent="0.3">
      <c r="A767" s="33"/>
      <c r="B767" s="33"/>
      <c r="C767" s="33"/>
      <c r="D767" s="33"/>
      <c r="E767" s="33"/>
      <c r="F767" s="33"/>
      <c r="G767" s="33"/>
    </row>
    <row r="768" spans="1:7" s="54" customFormat="1" ht="11.4" customHeight="1" x14ac:dyDescent="0.3">
      <c r="A768" s="33"/>
      <c r="B768" s="33"/>
      <c r="C768" s="33"/>
      <c r="D768" s="33"/>
      <c r="E768" s="33"/>
      <c r="F768" s="33"/>
      <c r="G768" s="33"/>
    </row>
    <row r="769" spans="1:7" s="54" customFormat="1" ht="11.4" customHeight="1" x14ac:dyDescent="0.3">
      <c r="A769" s="33"/>
      <c r="B769" s="33"/>
      <c r="C769" s="33"/>
      <c r="D769" s="33"/>
      <c r="E769" s="33"/>
      <c r="F769" s="33"/>
      <c r="G769" s="33"/>
    </row>
    <row r="770" spans="1:7" s="54" customFormat="1" ht="11.4" customHeight="1" x14ac:dyDescent="0.3">
      <c r="A770" s="33"/>
      <c r="B770" s="33"/>
      <c r="C770" s="33"/>
      <c r="D770" s="33"/>
      <c r="E770" s="33"/>
      <c r="F770" s="33"/>
      <c r="G770" s="33"/>
    </row>
    <row r="771" spans="1:7" s="54" customFormat="1" ht="11.4" customHeight="1" x14ac:dyDescent="0.3">
      <c r="A771" s="33"/>
      <c r="B771" s="33"/>
      <c r="C771" s="33"/>
      <c r="D771" s="33"/>
      <c r="E771" s="33"/>
      <c r="F771" s="33"/>
      <c r="G771" s="33"/>
    </row>
    <row r="772" spans="1:7" s="54" customFormat="1" ht="11.4" customHeight="1" x14ac:dyDescent="0.3">
      <c r="A772" s="33"/>
      <c r="B772" s="33"/>
      <c r="C772" s="33"/>
      <c r="D772" s="33"/>
      <c r="E772" s="33"/>
      <c r="F772" s="33"/>
      <c r="G772" s="33"/>
    </row>
    <row r="773" spans="1:7" s="54" customFormat="1" ht="11.4" customHeight="1" x14ac:dyDescent="0.3">
      <c r="A773" s="33"/>
      <c r="B773" s="33"/>
      <c r="C773" s="33"/>
      <c r="D773" s="33"/>
      <c r="E773" s="33"/>
      <c r="F773" s="33"/>
      <c r="G773" s="33"/>
    </row>
    <row r="774" spans="1:7" s="54" customFormat="1" ht="11.4" customHeight="1" x14ac:dyDescent="0.3">
      <c r="A774" s="33"/>
      <c r="B774" s="33"/>
      <c r="C774" s="33"/>
      <c r="D774" s="33"/>
      <c r="E774" s="33"/>
      <c r="F774" s="33"/>
      <c r="G774" s="33"/>
    </row>
    <row r="775" spans="1:7" s="54" customFormat="1" ht="11.4" customHeight="1" x14ac:dyDescent="0.3">
      <c r="A775" s="33"/>
      <c r="B775" s="33"/>
      <c r="C775" s="33"/>
      <c r="D775" s="33"/>
      <c r="E775" s="33"/>
      <c r="F775" s="33"/>
      <c r="G775" s="33"/>
    </row>
    <row r="776" spans="1:7" s="54" customFormat="1" ht="11.4" customHeight="1" x14ac:dyDescent="0.3">
      <c r="A776" s="33"/>
      <c r="B776" s="33"/>
      <c r="C776" s="33"/>
      <c r="D776" s="33"/>
      <c r="E776" s="33"/>
      <c r="F776" s="33"/>
      <c r="G776" s="33"/>
    </row>
    <row r="777" spans="1:7" s="54" customFormat="1" ht="11.4" customHeight="1" x14ac:dyDescent="0.3">
      <c r="A777" s="33"/>
      <c r="B777" s="33"/>
      <c r="C777" s="33"/>
      <c r="D777" s="33"/>
      <c r="E777" s="33"/>
      <c r="F777" s="33"/>
      <c r="G777" s="33"/>
    </row>
    <row r="778" spans="1:7" s="54" customFormat="1" ht="11.4" customHeight="1" x14ac:dyDescent="0.3">
      <c r="A778" s="33"/>
      <c r="B778" s="33"/>
      <c r="C778" s="33"/>
      <c r="D778" s="33"/>
      <c r="E778" s="33"/>
      <c r="F778" s="33"/>
      <c r="G778" s="33"/>
    </row>
    <row r="779" spans="1:7" s="54" customFormat="1" ht="11.4" customHeight="1" x14ac:dyDescent="0.3">
      <c r="A779" s="33"/>
      <c r="B779" s="33"/>
      <c r="C779" s="33"/>
      <c r="D779" s="33"/>
      <c r="E779" s="33"/>
      <c r="F779" s="33"/>
      <c r="G779" s="33"/>
    </row>
    <row r="780" spans="1:7" s="54" customFormat="1" ht="11.4" customHeight="1" x14ac:dyDescent="0.3">
      <c r="A780" s="33"/>
      <c r="B780" s="33"/>
      <c r="C780" s="33"/>
      <c r="D780" s="33"/>
      <c r="E780" s="33"/>
      <c r="F780" s="33"/>
      <c r="G780" s="33"/>
    </row>
    <row r="781" spans="1:7" s="54" customFormat="1" ht="11.4" customHeight="1" x14ac:dyDescent="0.3">
      <c r="A781" s="33"/>
      <c r="B781" s="33"/>
      <c r="C781" s="33"/>
      <c r="D781" s="33"/>
      <c r="E781" s="33"/>
      <c r="F781" s="33"/>
      <c r="G781" s="33"/>
    </row>
    <row r="782" spans="1:7" s="54" customFormat="1" ht="11.4" customHeight="1" x14ac:dyDescent="0.3">
      <c r="A782" s="33"/>
      <c r="B782" s="33"/>
      <c r="C782" s="33"/>
      <c r="D782" s="33"/>
      <c r="E782" s="33"/>
      <c r="F782" s="33"/>
      <c r="G782" s="33"/>
    </row>
    <row r="783" spans="1:7" s="54" customFormat="1" ht="11.4" customHeight="1" x14ac:dyDescent="0.3">
      <c r="A783" s="33"/>
      <c r="B783" s="33"/>
      <c r="C783" s="33"/>
      <c r="D783" s="33"/>
      <c r="E783" s="33"/>
      <c r="F783" s="33"/>
      <c r="G783" s="33"/>
    </row>
    <row r="784" spans="1:7" s="54" customFormat="1" ht="11.4" customHeight="1" x14ac:dyDescent="0.3">
      <c r="A784" s="33"/>
      <c r="B784" s="33"/>
      <c r="C784" s="33"/>
      <c r="D784" s="33"/>
      <c r="E784" s="33"/>
      <c r="F784" s="33"/>
      <c r="G784" s="33"/>
    </row>
    <row r="785" spans="1:7" s="54" customFormat="1" ht="11.4" customHeight="1" x14ac:dyDescent="0.3">
      <c r="A785" s="33"/>
      <c r="B785" s="33"/>
      <c r="C785" s="33"/>
      <c r="D785" s="33"/>
      <c r="E785" s="33"/>
      <c r="F785" s="33"/>
      <c r="G785" s="33"/>
    </row>
    <row r="786" spans="1:7" s="54" customFormat="1" ht="11.4" customHeight="1" x14ac:dyDescent="0.3">
      <c r="A786" s="33"/>
      <c r="B786" s="33"/>
      <c r="C786" s="33"/>
      <c r="D786" s="33"/>
      <c r="E786" s="33"/>
      <c r="F786" s="33"/>
      <c r="G786" s="33"/>
    </row>
    <row r="787" spans="1:7" s="54" customFormat="1" ht="11.4" customHeight="1" x14ac:dyDescent="0.3">
      <c r="A787" s="33"/>
      <c r="B787" s="33"/>
      <c r="C787" s="33"/>
      <c r="D787" s="33"/>
      <c r="E787" s="33"/>
      <c r="F787" s="33"/>
      <c r="G787" s="33"/>
    </row>
    <row r="788" spans="1:7" s="54" customFormat="1" ht="11.4" customHeight="1" x14ac:dyDescent="0.3">
      <c r="A788" s="33"/>
      <c r="B788" s="33"/>
      <c r="C788" s="33"/>
      <c r="D788" s="33"/>
      <c r="E788" s="33"/>
      <c r="F788" s="33"/>
      <c r="G788" s="33"/>
    </row>
    <row r="789" spans="1:7" s="54" customFormat="1" ht="11.4" customHeight="1" x14ac:dyDescent="0.3">
      <c r="A789" s="33"/>
      <c r="B789" s="33"/>
      <c r="C789" s="33"/>
      <c r="D789" s="33"/>
      <c r="E789" s="33"/>
      <c r="F789" s="33"/>
      <c r="G789" s="33"/>
    </row>
    <row r="790" spans="1:7" s="54" customFormat="1" ht="11.4" customHeight="1" x14ac:dyDescent="0.3">
      <c r="A790" s="33"/>
      <c r="B790" s="33"/>
      <c r="C790" s="33"/>
      <c r="D790" s="33"/>
      <c r="E790" s="33"/>
      <c r="F790" s="33"/>
      <c r="G790" s="33"/>
    </row>
    <row r="791" spans="1:7" s="54" customFormat="1" ht="11.4" customHeight="1" x14ac:dyDescent="0.3">
      <c r="A791" s="33"/>
      <c r="B791" s="33"/>
      <c r="C791" s="33"/>
      <c r="D791" s="33"/>
      <c r="E791" s="33"/>
      <c r="F791" s="33"/>
      <c r="G791" s="33"/>
    </row>
    <row r="792" spans="1:7" s="54" customFormat="1" ht="11.4" customHeight="1" x14ac:dyDescent="0.3">
      <c r="A792" s="33"/>
      <c r="B792" s="33"/>
      <c r="C792" s="33"/>
      <c r="D792" s="33"/>
      <c r="E792" s="33"/>
      <c r="F792" s="33"/>
      <c r="G792" s="33"/>
    </row>
    <row r="793" spans="1:7" s="54" customFormat="1" ht="11.4" customHeight="1" x14ac:dyDescent="0.3">
      <c r="A793" s="33"/>
      <c r="B793" s="33"/>
      <c r="C793" s="33"/>
      <c r="D793" s="33"/>
      <c r="E793" s="33"/>
      <c r="F793" s="33"/>
      <c r="G793" s="33"/>
    </row>
    <row r="794" spans="1:7" s="54" customFormat="1" ht="11.4" customHeight="1" x14ac:dyDescent="0.3">
      <c r="A794" s="33"/>
      <c r="B794" s="33"/>
      <c r="C794" s="33"/>
      <c r="D794" s="33"/>
      <c r="E794" s="33"/>
      <c r="F794" s="33"/>
      <c r="G794" s="33"/>
    </row>
    <row r="795" spans="1:7" s="54" customFormat="1" ht="11.4" customHeight="1" x14ac:dyDescent="0.3">
      <c r="A795" s="33"/>
      <c r="B795" s="33"/>
      <c r="C795" s="33"/>
      <c r="D795" s="33"/>
      <c r="E795" s="33"/>
      <c r="F795" s="33"/>
      <c r="G795" s="33"/>
    </row>
    <row r="796" spans="1:7" s="54" customFormat="1" ht="11.4" customHeight="1" x14ac:dyDescent="0.3">
      <c r="A796" s="33"/>
      <c r="B796" s="33"/>
      <c r="C796" s="33"/>
      <c r="D796" s="33"/>
      <c r="E796" s="33"/>
      <c r="F796" s="33"/>
      <c r="G796" s="33"/>
    </row>
    <row r="797" spans="1:7" s="54" customFormat="1" ht="11.4" customHeight="1" x14ac:dyDescent="0.3">
      <c r="A797" s="33"/>
      <c r="B797" s="33"/>
      <c r="C797" s="33"/>
      <c r="D797" s="33"/>
      <c r="E797" s="33"/>
      <c r="F797" s="33"/>
      <c r="G797" s="33"/>
    </row>
    <row r="798" spans="1:7" s="54" customFormat="1" ht="11.4" customHeight="1" x14ac:dyDescent="0.3">
      <c r="A798" s="33"/>
      <c r="B798" s="33"/>
      <c r="C798" s="33"/>
      <c r="D798" s="33"/>
      <c r="E798" s="33"/>
      <c r="F798" s="33"/>
      <c r="G798" s="33"/>
    </row>
    <row r="799" spans="1:7" s="54" customFormat="1" ht="11.4" customHeight="1" x14ac:dyDescent="0.3">
      <c r="A799" s="33"/>
      <c r="B799" s="33"/>
      <c r="C799" s="33"/>
      <c r="D799" s="33"/>
      <c r="E799" s="33"/>
      <c r="F799" s="33"/>
      <c r="G799" s="33"/>
    </row>
    <row r="800" spans="1:7" s="54" customFormat="1" ht="11.4" customHeight="1" x14ac:dyDescent="0.3">
      <c r="A800" s="33"/>
      <c r="B800" s="33"/>
      <c r="C800" s="33"/>
      <c r="D800" s="33"/>
      <c r="E800" s="33"/>
      <c r="F800" s="33"/>
      <c r="G800" s="33"/>
    </row>
    <row r="801" spans="1:7" s="54" customFormat="1" ht="11.4" customHeight="1" x14ac:dyDescent="0.3">
      <c r="A801" s="33"/>
      <c r="B801" s="33"/>
      <c r="C801" s="33"/>
      <c r="D801" s="33"/>
      <c r="E801" s="33"/>
      <c r="F801" s="33"/>
      <c r="G801" s="33"/>
    </row>
    <row r="802" spans="1:7" s="54" customFormat="1" ht="11.4" customHeight="1" x14ac:dyDescent="0.3">
      <c r="A802" s="33"/>
      <c r="B802" s="33"/>
      <c r="C802" s="33"/>
      <c r="D802" s="33"/>
      <c r="E802" s="33"/>
      <c r="F802" s="33"/>
      <c r="G802" s="33"/>
    </row>
    <row r="803" spans="1:7" s="54" customFormat="1" ht="11.4" customHeight="1" x14ac:dyDescent="0.3">
      <c r="A803" s="33"/>
      <c r="B803" s="33"/>
      <c r="C803" s="33"/>
      <c r="D803" s="33"/>
      <c r="E803" s="33"/>
      <c r="F803" s="33"/>
      <c r="G803" s="33"/>
    </row>
    <row r="804" spans="1:7" s="54" customFormat="1" ht="11.4" customHeight="1" x14ac:dyDescent="0.3">
      <c r="A804" s="33"/>
      <c r="B804" s="33"/>
      <c r="C804" s="33"/>
      <c r="D804" s="33"/>
      <c r="E804" s="33"/>
      <c r="F804" s="33"/>
      <c r="G804" s="33"/>
    </row>
    <row r="805" spans="1:7" s="54" customFormat="1" ht="11.4" customHeight="1" x14ac:dyDescent="0.3">
      <c r="A805" s="33"/>
      <c r="B805" s="33"/>
      <c r="C805" s="33"/>
      <c r="D805" s="33"/>
      <c r="E805" s="33"/>
      <c r="F805" s="33"/>
      <c r="G805" s="33"/>
    </row>
    <row r="806" spans="1:7" s="54" customFormat="1" ht="11.4" customHeight="1" x14ac:dyDescent="0.3">
      <c r="A806" s="33"/>
      <c r="B806" s="33"/>
      <c r="C806" s="33"/>
      <c r="D806" s="33"/>
      <c r="E806" s="33"/>
      <c r="F806" s="33"/>
      <c r="G806" s="33"/>
    </row>
    <row r="807" spans="1:7" s="54" customFormat="1" ht="11.4" customHeight="1" x14ac:dyDescent="0.3">
      <c r="A807" s="33"/>
      <c r="B807" s="33"/>
      <c r="C807" s="33"/>
      <c r="D807" s="33"/>
      <c r="E807" s="33"/>
      <c r="F807" s="33"/>
      <c r="G807" s="33"/>
    </row>
    <row r="808" spans="1:7" s="54" customFormat="1" ht="11.4" customHeight="1" x14ac:dyDescent="0.3">
      <c r="A808" s="33"/>
      <c r="B808" s="33"/>
      <c r="C808" s="33"/>
      <c r="D808" s="33"/>
      <c r="E808" s="33"/>
      <c r="F808" s="33"/>
      <c r="G808" s="33"/>
    </row>
    <row r="809" spans="1:7" s="54" customFormat="1" ht="11.4" customHeight="1" x14ac:dyDescent="0.3">
      <c r="A809" s="33"/>
      <c r="B809" s="33"/>
      <c r="C809" s="33"/>
      <c r="D809" s="33"/>
      <c r="E809" s="33"/>
      <c r="F809" s="33"/>
      <c r="G809" s="33"/>
    </row>
    <row r="810" spans="1:7" s="54" customFormat="1" ht="11.4" customHeight="1" x14ac:dyDescent="0.3">
      <c r="A810" s="33"/>
      <c r="B810" s="33"/>
      <c r="C810" s="33"/>
      <c r="D810" s="33"/>
      <c r="E810" s="33"/>
      <c r="F810" s="33"/>
      <c r="G810" s="33"/>
    </row>
    <row r="811" spans="1:7" s="54" customFormat="1" ht="11.4" customHeight="1" x14ac:dyDescent="0.3">
      <c r="A811" s="33"/>
      <c r="B811" s="33"/>
      <c r="C811" s="33"/>
      <c r="D811" s="33"/>
      <c r="E811" s="33"/>
      <c r="F811" s="33"/>
      <c r="G811" s="33"/>
    </row>
    <row r="812" spans="1:7" s="54" customFormat="1" ht="11.4" customHeight="1" x14ac:dyDescent="0.3">
      <c r="A812" s="33"/>
      <c r="B812" s="33"/>
      <c r="C812" s="33"/>
      <c r="D812" s="33"/>
      <c r="E812" s="33"/>
      <c r="F812" s="33"/>
      <c r="G812" s="33"/>
    </row>
    <row r="813" spans="1:7" s="54" customFormat="1" ht="11.4" customHeight="1" x14ac:dyDescent="0.3">
      <c r="A813" s="33"/>
      <c r="B813" s="33"/>
      <c r="C813" s="33"/>
      <c r="D813" s="33"/>
      <c r="E813" s="33"/>
      <c r="F813" s="33"/>
      <c r="G813" s="33"/>
    </row>
    <row r="814" spans="1:7" s="54" customFormat="1" ht="11.4" customHeight="1" x14ac:dyDescent="0.3">
      <c r="A814" s="33"/>
      <c r="B814" s="33"/>
      <c r="C814" s="33"/>
      <c r="D814" s="33"/>
      <c r="E814" s="33"/>
      <c r="F814" s="33"/>
      <c r="G814" s="33"/>
    </row>
    <row r="815" spans="1:7" s="54" customFormat="1" ht="11.4" customHeight="1" x14ac:dyDescent="0.3">
      <c r="A815" s="33"/>
      <c r="B815" s="33"/>
      <c r="C815" s="33"/>
      <c r="D815" s="33"/>
      <c r="E815" s="33"/>
      <c r="F815" s="33"/>
      <c r="G815" s="33"/>
    </row>
    <row r="816" spans="1:7" s="54" customFormat="1" ht="11.4" customHeight="1" x14ac:dyDescent="0.3">
      <c r="A816" s="33"/>
      <c r="B816" s="33"/>
      <c r="C816" s="33"/>
      <c r="D816" s="33"/>
      <c r="E816" s="33"/>
      <c r="F816" s="33"/>
      <c r="G816" s="33"/>
    </row>
    <row r="817" spans="1:7" s="54" customFormat="1" ht="11.4" customHeight="1" x14ac:dyDescent="0.3">
      <c r="A817" s="33"/>
      <c r="B817" s="33"/>
      <c r="C817" s="33"/>
      <c r="D817" s="33"/>
      <c r="E817" s="33"/>
      <c r="F817" s="33"/>
      <c r="G817" s="33"/>
    </row>
    <row r="818" spans="1:7" s="54" customFormat="1" ht="11.4" customHeight="1" x14ac:dyDescent="0.3">
      <c r="A818" s="33"/>
      <c r="B818" s="33"/>
      <c r="C818" s="33"/>
      <c r="D818" s="33"/>
      <c r="E818" s="33"/>
      <c r="F818" s="33"/>
      <c r="G818" s="33"/>
    </row>
    <row r="819" spans="1:7" s="54" customFormat="1" ht="11.4" customHeight="1" x14ac:dyDescent="0.3">
      <c r="A819" s="33"/>
      <c r="B819" s="33"/>
      <c r="C819" s="33"/>
      <c r="D819" s="33"/>
      <c r="E819" s="33"/>
      <c r="F819" s="33"/>
      <c r="G819" s="33"/>
    </row>
    <row r="820" spans="1:7" s="54" customFormat="1" ht="11.4" customHeight="1" x14ac:dyDescent="0.3">
      <c r="A820" s="33"/>
      <c r="B820" s="33"/>
      <c r="C820" s="33"/>
      <c r="D820" s="33"/>
      <c r="E820" s="33"/>
      <c r="F820" s="33"/>
      <c r="G820" s="33"/>
    </row>
    <row r="821" spans="1:7" s="54" customFormat="1" ht="11.4" customHeight="1" x14ac:dyDescent="0.3">
      <c r="A821" s="33"/>
      <c r="B821" s="33"/>
      <c r="C821" s="33"/>
      <c r="D821" s="33"/>
      <c r="E821" s="33"/>
      <c r="F821" s="33"/>
      <c r="G821" s="33"/>
    </row>
    <row r="822" spans="1:7" s="54" customFormat="1" ht="11.4" customHeight="1" x14ac:dyDescent="0.3">
      <c r="A822" s="33"/>
      <c r="B822" s="33"/>
      <c r="C822" s="33"/>
      <c r="D822" s="33"/>
      <c r="E822" s="33"/>
      <c r="F822" s="33"/>
      <c r="G822" s="33"/>
    </row>
    <row r="823" spans="1:7" s="54" customFormat="1" ht="11.4" customHeight="1" x14ac:dyDescent="0.3">
      <c r="A823" s="33"/>
      <c r="B823" s="33"/>
      <c r="C823" s="33"/>
      <c r="D823" s="33"/>
      <c r="E823" s="33"/>
      <c r="F823" s="33"/>
      <c r="G823" s="33"/>
    </row>
    <row r="824" spans="1:7" s="54" customFormat="1" ht="11.4" customHeight="1" x14ac:dyDescent="0.3">
      <c r="A824" s="33"/>
      <c r="B824" s="33"/>
      <c r="C824" s="33"/>
      <c r="D824" s="33"/>
      <c r="E824" s="33"/>
      <c r="F824" s="33"/>
      <c r="G824" s="33"/>
    </row>
    <row r="825" spans="1:7" s="54" customFormat="1" ht="11.4" customHeight="1" x14ac:dyDescent="0.3">
      <c r="A825" s="33"/>
      <c r="B825" s="33"/>
      <c r="C825" s="33"/>
      <c r="D825" s="33"/>
      <c r="E825" s="33"/>
      <c r="F825" s="33"/>
      <c r="G825" s="33"/>
    </row>
    <row r="826" spans="1:7" s="54" customFormat="1" ht="11.4" customHeight="1" x14ac:dyDescent="0.3">
      <c r="A826" s="33"/>
      <c r="B826" s="33"/>
      <c r="C826" s="33"/>
      <c r="D826" s="33"/>
      <c r="E826" s="33"/>
      <c r="F826" s="33"/>
      <c r="G826" s="33"/>
    </row>
    <row r="827" spans="1:7" s="54" customFormat="1" ht="11.4" customHeight="1" x14ac:dyDescent="0.3">
      <c r="A827" s="33"/>
      <c r="B827" s="33"/>
      <c r="C827" s="33"/>
      <c r="D827" s="33"/>
      <c r="E827" s="33"/>
      <c r="F827" s="33"/>
      <c r="G827" s="33"/>
    </row>
    <row r="828" spans="1:7" s="54" customFormat="1" ht="11.4" customHeight="1" x14ac:dyDescent="0.3">
      <c r="A828" s="33"/>
      <c r="B828" s="33"/>
      <c r="C828" s="33"/>
      <c r="D828" s="33"/>
      <c r="E828" s="33"/>
      <c r="F828" s="33"/>
      <c r="G828" s="33"/>
    </row>
    <row r="829" spans="1:7" s="54" customFormat="1" ht="11.4" customHeight="1" x14ac:dyDescent="0.3">
      <c r="A829" s="33"/>
      <c r="B829" s="33"/>
      <c r="C829" s="33"/>
      <c r="D829" s="33"/>
      <c r="E829" s="33"/>
      <c r="F829" s="33"/>
      <c r="G829" s="33"/>
    </row>
    <row r="830" spans="1:7" s="54" customFormat="1" ht="11.4" customHeight="1" x14ac:dyDescent="0.3">
      <c r="A830" s="33"/>
      <c r="B830" s="33"/>
      <c r="C830" s="33"/>
      <c r="D830" s="33"/>
      <c r="E830" s="33"/>
      <c r="F830" s="33"/>
      <c r="G830" s="33"/>
    </row>
    <row r="831" spans="1:7" s="54" customFormat="1" ht="11.4" customHeight="1" x14ac:dyDescent="0.3">
      <c r="A831" s="33"/>
      <c r="B831" s="33"/>
      <c r="C831" s="33"/>
      <c r="D831" s="33"/>
      <c r="E831" s="33"/>
      <c r="F831" s="33"/>
      <c r="G831" s="33"/>
    </row>
    <row r="832" spans="1:7" s="54" customFormat="1" ht="11.4" customHeight="1" x14ac:dyDescent="0.3">
      <c r="A832" s="33"/>
      <c r="B832" s="33"/>
      <c r="C832" s="33"/>
      <c r="D832" s="33"/>
      <c r="E832" s="33"/>
      <c r="F832" s="33"/>
      <c r="G832" s="33"/>
    </row>
    <row r="833" spans="1:7" s="54" customFormat="1" ht="11.4" customHeight="1" x14ac:dyDescent="0.3">
      <c r="A833" s="33"/>
      <c r="B833" s="33"/>
      <c r="C833" s="33"/>
      <c r="D833" s="33"/>
      <c r="E833" s="33"/>
      <c r="F833" s="33"/>
      <c r="G833" s="33"/>
    </row>
    <row r="834" spans="1:7" s="54" customFormat="1" ht="11.4" customHeight="1" x14ac:dyDescent="0.3">
      <c r="A834" s="33"/>
      <c r="B834" s="33"/>
      <c r="C834" s="33"/>
      <c r="D834" s="33"/>
      <c r="E834" s="33"/>
      <c r="F834" s="33"/>
      <c r="G834" s="33"/>
    </row>
    <row r="835" spans="1:7" s="54" customFormat="1" ht="11.4" customHeight="1" x14ac:dyDescent="0.3">
      <c r="A835" s="33"/>
      <c r="B835" s="33"/>
      <c r="C835" s="33"/>
      <c r="D835" s="33"/>
      <c r="E835" s="33"/>
      <c r="F835" s="33"/>
      <c r="G835" s="33"/>
    </row>
    <row r="836" spans="1:7" s="54" customFormat="1" ht="11.4" customHeight="1" x14ac:dyDescent="0.3">
      <c r="A836" s="33"/>
      <c r="B836" s="33"/>
      <c r="C836" s="33"/>
      <c r="D836" s="33"/>
      <c r="E836" s="33"/>
      <c r="F836" s="33"/>
      <c r="G836" s="33"/>
    </row>
    <row r="837" spans="1:7" s="54" customFormat="1" ht="11.4" customHeight="1" x14ac:dyDescent="0.3">
      <c r="A837" s="33"/>
      <c r="B837" s="33"/>
      <c r="C837" s="33"/>
      <c r="D837" s="33"/>
      <c r="E837" s="33"/>
      <c r="F837" s="33"/>
      <c r="G837" s="33"/>
    </row>
    <row r="838" spans="1:7" s="54" customFormat="1" ht="11.4" customHeight="1" x14ac:dyDescent="0.3">
      <c r="A838" s="33"/>
      <c r="B838" s="33"/>
      <c r="C838" s="33"/>
      <c r="D838" s="33"/>
      <c r="E838" s="33"/>
      <c r="F838" s="33"/>
      <c r="G838" s="33"/>
    </row>
    <row r="839" spans="1:7" s="54" customFormat="1" ht="11.4" customHeight="1" x14ac:dyDescent="0.3">
      <c r="A839" s="33"/>
      <c r="B839" s="33"/>
      <c r="C839" s="33"/>
      <c r="D839" s="33"/>
      <c r="E839" s="33"/>
      <c r="F839" s="33"/>
      <c r="G839" s="33"/>
    </row>
    <row r="840" spans="1:7" s="54" customFormat="1" ht="11.4" customHeight="1" x14ac:dyDescent="0.3">
      <c r="A840" s="33"/>
      <c r="B840" s="33"/>
      <c r="C840" s="33"/>
      <c r="D840" s="33"/>
      <c r="E840" s="33"/>
      <c r="F840" s="33"/>
      <c r="G840" s="33"/>
    </row>
    <row r="841" spans="1:7" s="54" customFormat="1" ht="11.4" customHeight="1" x14ac:dyDescent="0.3">
      <c r="A841" s="33"/>
      <c r="B841" s="33"/>
      <c r="C841" s="33"/>
      <c r="D841" s="33"/>
      <c r="E841" s="33"/>
      <c r="F841" s="33"/>
      <c r="G841" s="33"/>
    </row>
    <row r="842" spans="1:7" s="54" customFormat="1" ht="11.4" customHeight="1" x14ac:dyDescent="0.3">
      <c r="A842" s="33"/>
      <c r="B842" s="33"/>
      <c r="C842" s="33"/>
      <c r="D842" s="33"/>
      <c r="E842" s="33"/>
      <c r="F842" s="33"/>
      <c r="G842" s="33"/>
    </row>
    <row r="843" spans="1:7" s="54" customFormat="1" ht="11.4" customHeight="1" x14ac:dyDescent="0.3">
      <c r="A843" s="33"/>
      <c r="B843" s="33"/>
      <c r="C843" s="33"/>
      <c r="D843" s="33"/>
      <c r="E843" s="33"/>
      <c r="F843" s="33"/>
      <c r="G843" s="33"/>
    </row>
    <row r="844" spans="1:7" s="54" customFormat="1" ht="11.4" customHeight="1" x14ac:dyDescent="0.3">
      <c r="A844" s="33"/>
      <c r="B844" s="33"/>
      <c r="C844" s="33"/>
      <c r="D844" s="33"/>
      <c r="E844" s="33"/>
      <c r="F844" s="33"/>
      <c r="G844" s="33"/>
    </row>
    <row r="845" spans="1:7" s="54" customFormat="1" ht="11.4" customHeight="1" x14ac:dyDescent="0.3">
      <c r="A845" s="33"/>
      <c r="B845" s="33"/>
      <c r="C845" s="33"/>
      <c r="D845" s="33"/>
      <c r="E845" s="33"/>
      <c r="F845" s="33"/>
      <c r="G845" s="33"/>
    </row>
    <row r="846" spans="1:7" s="54" customFormat="1" ht="11.4" customHeight="1" x14ac:dyDescent="0.3">
      <c r="A846" s="33"/>
      <c r="B846" s="33"/>
      <c r="C846" s="33"/>
      <c r="D846" s="33"/>
      <c r="E846" s="33"/>
      <c r="F846" s="33"/>
      <c r="G846" s="33"/>
    </row>
    <row r="847" spans="1:7" s="54" customFormat="1" ht="11.4" customHeight="1" x14ac:dyDescent="0.3">
      <c r="A847" s="33"/>
      <c r="B847" s="33"/>
      <c r="C847" s="33"/>
      <c r="D847" s="33"/>
      <c r="E847" s="33"/>
      <c r="F847" s="33"/>
      <c r="G847" s="33"/>
    </row>
    <row r="848" spans="1:7" s="54" customFormat="1" ht="11.4" customHeight="1" x14ac:dyDescent="0.3">
      <c r="A848" s="33"/>
      <c r="B848" s="33"/>
      <c r="C848" s="33"/>
      <c r="D848" s="33"/>
      <c r="E848" s="33"/>
      <c r="F848" s="33"/>
      <c r="G848" s="33"/>
    </row>
    <row r="849" spans="1:7" s="54" customFormat="1" ht="11.4" customHeight="1" x14ac:dyDescent="0.3">
      <c r="A849" s="33"/>
      <c r="B849" s="33"/>
      <c r="C849" s="33"/>
      <c r="D849" s="33"/>
      <c r="E849" s="33"/>
      <c r="F849" s="33"/>
      <c r="G849" s="33"/>
    </row>
    <row r="850" spans="1:7" s="54" customFormat="1" ht="11.4" customHeight="1" x14ac:dyDescent="0.3">
      <c r="A850" s="33"/>
      <c r="B850" s="33"/>
      <c r="C850" s="33"/>
      <c r="D850" s="33"/>
      <c r="E850" s="33"/>
      <c r="F850" s="33"/>
      <c r="G850" s="33"/>
    </row>
    <row r="851" spans="1:7" s="54" customFormat="1" ht="11.4" customHeight="1" x14ac:dyDescent="0.3">
      <c r="A851" s="33"/>
      <c r="B851" s="33"/>
      <c r="C851" s="33"/>
      <c r="D851" s="33"/>
      <c r="E851" s="33"/>
      <c r="F851" s="33"/>
      <c r="G851" s="33"/>
    </row>
    <row r="852" spans="1:7" s="54" customFormat="1" ht="11.4" customHeight="1" x14ac:dyDescent="0.3">
      <c r="A852" s="33"/>
      <c r="B852" s="33"/>
      <c r="C852" s="33"/>
      <c r="D852" s="33"/>
      <c r="E852" s="33"/>
      <c r="F852" s="33"/>
      <c r="G852" s="33"/>
    </row>
    <row r="853" spans="1:7" s="54" customFormat="1" ht="11.4" customHeight="1" x14ac:dyDescent="0.3">
      <c r="A853" s="33"/>
      <c r="B853" s="33"/>
      <c r="C853" s="33"/>
      <c r="D853" s="33"/>
      <c r="E853" s="33"/>
      <c r="F853" s="33"/>
      <c r="G853" s="33"/>
    </row>
    <row r="854" spans="1:7" s="54" customFormat="1" ht="11.4" customHeight="1" x14ac:dyDescent="0.3">
      <c r="A854" s="33"/>
      <c r="B854" s="33"/>
      <c r="C854" s="33"/>
      <c r="D854" s="33"/>
      <c r="E854" s="33"/>
      <c r="F854" s="33"/>
      <c r="G854" s="33"/>
    </row>
    <row r="855" spans="1:7" s="54" customFormat="1" ht="11.4" customHeight="1" x14ac:dyDescent="0.3">
      <c r="A855" s="33"/>
      <c r="B855" s="33"/>
      <c r="C855" s="33"/>
      <c r="D855" s="33"/>
      <c r="E855" s="33"/>
      <c r="F855" s="33"/>
      <c r="G855" s="33"/>
    </row>
    <row r="856" spans="1:7" s="54" customFormat="1" ht="11.4" customHeight="1" x14ac:dyDescent="0.3">
      <c r="A856" s="33"/>
      <c r="B856" s="33"/>
      <c r="C856" s="33"/>
      <c r="D856" s="33"/>
      <c r="E856" s="33"/>
      <c r="F856" s="33"/>
      <c r="G856" s="33"/>
    </row>
    <row r="857" spans="1:7" s="54" customFormat="1" ht="11.4" customHeight="1" x14ac:dyDescent="0.3">
      <c r="A857" s="33"/>
      <c r="B857" s="33"/>
      <c r="C857" s="33"/>
      <c r="D857" s="33"/>
      <c r="E857" s="33"/>
      <c r="F857" s="33"/>
      <c r="G857" s="33"/>
    </row>
    <row r="858" spans="1:7" s="54" customFormat="1" ht="11.4" customHeight="1" x14ac:dyDescent="0.3">
      <c r="A858" s="33"/>
      <c r="B858" s="33"/>
      <c r="C858" s="33"/>
      <c r="D858" s="33"/>
      <c r="E858" s="33"/>
      <c r="F858" s="33"/>
      <c r="G858" s="33"/>
    </row>
    <row r="859" spans="1:7" s="54" customFormat="1" ht="11.4" customHeight="1" x14ac:dyDescent="0.3">
      <c r="A859" s="33"/>
      <c r="B859" s="33"/>
      <c r="C859" s="33"/>
      <c r="D859" s="33"/>
      <c r="E859" s="33"/>
      <c r="F859" s="33"/>
      <c r="G859" s="33"/>
    </row>
    <row r="860" spans="1:7" s="54" customFormat="1" ht="11.4" customHeight="1" x14ac:dyDescent="0.3">
      <c r="A860" s="33"/>
      <c r="B860" s="33"/>
      <c r="C860" s="33"/>
      <c r="D860" s="33"/>
      <c r="E860" s="33"/>
      <c r="F860" s="33"/>
      <c r="G860" s="33"/>
    </row>
    <row r="861" spans="1:7" s="54" customFormat="1" ht="11.4" customHeight="1" x14ac:dyDescent="0.3">
      <c r="A861" s="33"/>
      <c r="B861" s="33"/>
      <c r="C861" s="33"/>
      <c r="D861" s="33"/>
      <c r="E861" s="33"/>
      <c r="F861" s="33"/>
      <c r="G861" s="33"/>
    </row>
    <row r="862" spans="1:7" s="54" customFormat="1" ht="11.4" customHeight="1" x14ac:dyDescent="0.3">
      <c r="A862" s="33"/>
      <c r="B862" s="33"/>
      <c r="C862" s="33"/>
      <c r="D862" s="33"/>
      <c r="E862" s="33"/>
      <c r="F862" s="33"/>
      <c r="G862" s="33"/>
    </row>
    <row r="863" spans="1:7" s="54" customFormat="1" ht="11.4" customHeight="1" x14ac:dyDescent="0.3">
      <c r="A863" s="33"/>
      <c r="B863" s="33"/>
      <c r="C863" s="33"/>
      <c r="D863" s="33"/>
      <c r="E863" s="33"/>
      <c r="F863" s="33"/>
      <c r="G863" s="33"/>
    </row>
    <row r="864" spans="1:7" s="54" customFormat="1" ht="11.4" customHeight="1" x14ac:dyDescent="0.3">
      <c r="A864" s="33"/>
      <c r="B864" s="33"/>
      <c r="C864" s="33"/>
      <c r="D864" s="33"/>
      <c r="E864" s="33"/>
      <c r="F864" s="33"/>
      <c r="G864" s="33"/>
    </row>
    <row r="865" spans="1:7" s="54" customFormat="1" ht="11.4" customHeight="1" x14ac:dyDescent="0.3">
      <c r="A865" s="33"/>
      <c r="B865" s="33"/>
      <c r="C865" s="33"/>
      <c r="D865" s="33"/>
      <c r="E865" s="33"/>
      <c r="F865" s="33"/>
      <c r="G865" s="33"/>
    </row>
    <row r="866" spans="1:7" s="54" customFormat="1" ht="11.4" customHeight="1" x14ac:dyDescent="0.3">
      <c r="A866" s="33"/>
      <c r="B866" s="33"/>
      <c r="C866" s="33"/>
      <c r="D866" s="33"/>
      <c r="E866" s="33"/>
      <c r="F866" s="33"/>
      <c r="G866" s="33"/>
    </row>
    <row r="867" spans="1:7" s="54" customFormat="1" ht="11.4" customHeight="1" x14ac:dyDescent="0.3">
      <c r="A867" s="33"/>
      <c r="B867" s="33"/>
      <c r="C867" s="33"/>
      <c r="D867" s="33"/>
      <c r="E867" s="33"/>
      <c r="F867" s="33"/>
      <c r="G867" s="33"/>
    </row>
    <row r="868" spans="1:7" s="54" customFormat="1" ht="11.4" customHeight="1" x14ac:dyDescent="0.3">
      <c r="A868" s="33"/>
      <c r="B868" s="33"/>
      <c r="C868" s="33"/>
      <c r="D868" s="33"/>
      <c r="E868" s="33"/>
      <c r="F868" s="33"/>
      <c r="G868" s="33"/>
    </row>
    <row r="869" spans="1:7" s="54" customFormat="1" ht="11.4" customHeight="1" x14ac:dyDescent="0.3">
      <c r="A869" s="33"/>
      <c r="B869" s="33"/>
      <c r="C869" s="33"/>
      <c r="D869" s="33"/>
      <c r="E869" s="33"/>
      <c r="F869" s="33"/>
      <c r="G869" s="33"/>
    </row>
    <row r="870" spans="1:7" s="54" customFormat="1" ht="11.4" customHeight="1" x14ac:dyDescent="0.3">
      <c r="A870" s="33"/>
      <c r="B870" s="33"/>
      <c r="C870" s="33"/>
      <c r="D870" s="33"/>
      <c r="E870" s="33"/>
      <c r="F870" s="33"/>
      <c r="G870" s="33"/>
    </row>
    <row r="871" spans="1:7" s="54" customFormat="1" ht="11.4" customHeight="1" x14ac:dyDescent="0.3">
      <c r="A871" s="33"/>
      <c r="B871" s="33"/>
      <c r="C871" s="33"/>
      <c r="D871" s="33"/>
      <c r="E871" s="33"/>
      <c r="F871" s="33"/>
      <c r="G871" s="33"/>
    </row>
    <row r="872" spans="1:7" s="54" customFormat="1" ht="11.4" customHeight="1" x14ac:dyDescent="0.3">
      <c r="A872" s="33"/>
      <c r="B872" s="33"/>
      <c r="C872" s="33"/>
      <c r="D872" s="33"/>
      <c r="E872" s="33"/>
      <c r="F872" s="33"/>
      <c r="G872" s="33"/>
    </row>
    <row r="873" spans="1:7" s="54" customFormat="1" ht="11.4" customHeight="1" x14ac:dyDescent="0.3">
      <c r="A873" s="33"/>
      <c r="B873" s="33"/>
      <c r="C873" s="33"/>
      <c r="D873" s="33"/>
      <c r="E873" s="33"/>
      <c r="F873" s="33"/>
      <c r="G873" s="33"/>
    </row>
    <row r="874" spans="1:7" s="54" customFormat="1" ht="11.4" customHeight="1" x14ac:dyDescent="0.3">
      <c r="A874" s="33"/>
      <c r="B874" s="33"/>
      <c r="C874" s="33"/>
      <c r="D874" s="33"/>
      <c r="E874" s="33"/>
      <c r="F874" s="33"/>
      <c r="G874" s="33"/>
    </row>
    <row r="875" spans="1:7" s="54" customFormat="1" ht="11.4" customHeight="1" x14ac:dyDescent="0.3">
      <c r="A875" s="33"/>
      <c r="B875" s="33"/>
      <c r="C875" s="33"/>
      <c r="D875" s="33"/>
      <c r="E875" s="33"/>
      <c r="F875" s="33"/>
      <c r="G875" s="33"/>
    </row>
    <row r="876" spans="1:7" s="54" customFormat="1" ht="11.4" customHeight="1" x14ac:dyDescent="0.3">
      <c r="A876" s="33"/>
      <c r="B876" s="33"/>
      <c r="C876" s="33"/>
      <c r="D876" s="33"/>
      <c r="E876" s="33"/>
      <c r="F876" s="33"/>
      <c r="G876" s="33"/>
    </row>
    <row r="877" spans="1:7" s="54" customFormat="1" ht="11.4" customHeight="1" x14ac:dyDescent="0.3">
      <c r="A877" s="33"/>
      <c r="B877" s="33"/>
      <c r="C877" s="33"/>
      <c r="D877" s="33"/>
      <c r="E877" s="33"/>
      <c r="F877" s="33"/>
      <c r="G877" s="33"/>
    </row>
    <row r="878" spans="1:7" s="54" customFormat="1" ht="11.4" customHeight="1" x14ac:dyDescent="0.3">
      <c r="A878" s="33"/>
      <c r="B878" s="33"/>
      <c r="C878" s="33"/>
      <c r="D878" s="33"/>
      <c r="E878" s="33"/>
      <c r="F878" s="33"/>
      <c r="G878" s="33"/>
    </row>
    <row r="879" spans="1:7" s="54" customFormat="1" ht="11.4" customHeight="1" x14ac:dyDescent="0.3">
      <c r="A879" s="33"/>
      <c r="B879" s="33"/>
      <c r="C879" s="33"/>
      <c r="D879" s="33"/>
      <c r="E879" s="33"/>
      <c r="F879" s="33"/>
      <c r="G879" s="33"/>
    </row>
    <row r="880" spans="1:7" s="54" customFormat="1" ht="11.4" customHeight="1" x14ac:dyDescent="0.3">
      <c r="A880" s="33"/>
      <c r="B880" s="33"/>
      <c r="C880" s="33"/>
      <c r="D880" s="33"/>
      <c r="E880" s="33"/>
      <c r="F880" s="33"/>
      <c r="G880" s="33"/>
    </row>
    <row r="881" spans="1:7" s="54" customFormat="1" ht="11.4" customHeight="1" x14ac:dyDescent="0.3">
      <c r="A881" s="33"/>
      <c r="B881" s="33"/>
      <c r="C881" s="33"/>
      <c r="D881" s="33"/>
      <c r="E881" s="33"/>
      <c r="F881" s="33"/>
      <c r="G881" s="33"/>
    </row>
    <row r="882" spans="1:7" s="54" customFormat="1" ht="11.4" customHeight="1" x14ac:dyDescent="0.3">
      <c r="A882" s="33"/>
      <c r="B882" s="33"/>
      <c r="C882" s="33"/>
      <c r="D882" s="33"/>
      <c r="E882" s="33"/>
      <c r="F882" s="33"/>
      <c r="G882" s="33"/>
    </row>
    <row r="883" spans="1:7" s="54" customFormat="1" ht="11.4" customHeight="1" x14ac:dyDescent="0.3">
      <c r="A883" s="33"/>
      <c r="B883" s="33"/>
      <c r="C883" s="33"/>
      <c r="D883" s="33"/>
      <c r="E883" s="33"/>
      <c r="F883" s="33"/>
      <c r="G883" s="33"/>
    </row>
    <row r="884" spans="1:7" s="54" customFormat="1" ht="11.4" customHeight="1" x14ac:dyDescent="0.3">
      <c r="A884" s="33"/>
      <c r="B884" s="33"/>
      <c r="C884" s="33"/>
      <c r="D884" s="33"/>
      <c r="E884" s="33"/>
      <c r="F884" s="33"/>
      <c r="G884" s="33"/>
    </row>
    <row r="885" spans="1:7" s="54" customFormat="1" ht="11.4" customHeight="1" x14ac:dyDescent="0.3">
      <c r="A885" s="33"/>
      <c r="B885" s="33"/>
      <c r="C885" s="33"/>
      <c r="D885" s="33"/>
      <c r="E885" s="33"/>
      <c r="F885" s="33"/>
      <c r="G885" s="33"/>
    </row>
    <row r="886" spans="1:7" s="54" customFormat="1" ht="11.4" customHeight="1" x14ac:dyDescent="0.3">
      <c r="A886" s="33"/>
      <c r="B886" s="33"/>
      <c r="C886" s="33"/>
      <c r="D886" s="33"/>
      <c r="E886" s="33"/>
      <c r="F886" s="33"/>
      <c r="G886" s="33"/>
    </row>
    <row r="887" spans="1:7" s="54" customFormat="1" ht="11.4" customHeight="1" x14ac:dyDescent="0.3">
      <c r="A887" s="33"/>
      <c r="B887" s="33"/>
      <c r="C887" s="33"/>
      <c r="D887" s="33"/>
      <c r="E887" s="33"/>
      <c r="F887" s="33"/>
      <c r="G887" s="33"/>
    </row>
    <row r="888" spans="1:7" s="54" customFormat="1" ht="11.4" customHeight="1" x14ac:dyDescent="0.3">
      <c r="A888" s="33"/>
      <c r="B888" s="33"/>
      <c r="C888" s="33"/>
      <c r="D888" s="33"/>
      <c r="E888" s="33"/>
      <c r="F888" s="33"/>
      <c r="G888" s="33"/>
    </row>
    <row r="889" spans="1:7" s="54" customFormat="1" ht="11.4" customHeight="1" x14ac:dyDescent="0.3">
      <c r="A889" s="33"/>
      <c r="B889" s="33"/>
      <c r="C889" s="33"/>
      <c r="D889" s="33"/>
      <c r="E889" s="33"/>
      <c r="F889" s="33"/>
      <c r="G889" s="33"/>
    </row>
    <row r="890" spans="1:7" s="54" customFormat="1" ht="11.4" customHeight="1" x14ac:dyDescent="0.3">
      <c r="A890" s="33"/>
      <c r="B890" s="33"/>
      <c r="C890" s="33"/>
      <c r="D890" s="33"/>
      <c r="E890" s="33"/>
      <c r="F890" s="33"/>
      <c r="G890" s="33"/>
    </row>
    <row r="891" spans="1:7" s="54" customFormat="1" ht="11.4" customHeight="1" x14ac:dyDescent="0.3">
      <c r="A891" s="33"/>
      <c r="B891" s="33"/>
      <c r="C891" s="33"/>
      <c r="D891" s="33"/>
      <c r="E891" s="33"/>
      <c r="F891" s="33"/>
      <c r="G891" s="33"/>
    </row>
    <row r="892" spans="1:7" s="54" customFormat="1" ht="11.4" customHeight="1" x14ac:dyDescent="0.3">
      <c r="A892" s="33"/>
      <c r="B892" s="33"/>
      <c r="C892" s="33"/>
      <c r="D892" s="33"/>
      <c r="E892" s="33"/>
      <c r="F892" s="33"/>
      <c r="G892" s="33"/>
    </row>
    <row r="893" spans="1:7" s="54" customFormat="1" ht="11.4" customHeight="1" x14ac:dyDescent="0.3">
      <c r="A893" s="33"/>
      <c r="B893" s="33"/>
      <c r="C893" s="33"/>
      <c r="D893" s="33"/>
      <c r="E893" s="33"/>
      <c r="F893" s="33"/>
      <c r="G893" s="33"/>
    </row>
    <row r="894" spans="1:7" s="54" customFormat="1" ht="11.4" customHeight="1" x14ac:dyDescent="0.3">
      <c r="A894" s="33"/>
      <c r="B894" s="33"/>
      <c r="C894" s="33"/>
      <c r="D894" s="33"/>
      <c r="E894" s="33"/>
      <c r="F894" s="33"/>
      <c r="G894" s="33"/>
    </row>
    <row r="895" spans="1:7" s="54" customFormat="1" ht="11.4" customHeight="1" x14ac:dyDescent="0.3">
      <c r="A895" s="33"/>
      <c r="B895" s="33"/>
      <c r="C895" s="33"/>
      <c r="D895" s="33"/>
      <c r="E895" s="33"/>
      <c r="F895" s="33"/>
      <c r="G895" s="33"/>
    </row>
    <row r="896" spans="1:7" s="54" customFormat="1" ht="11.4" customHeight="1" x14ac:dyDescent="0.3">
      <c r="A896" s="33"/>
      <c r="B896" s="33"/>
      <c r="C896" s="33"/>
      <c r="D896" s="33"/>
      <c r="E896" s="33"/>
      <c r="F896" s="33"/>
      <c r="G896" s="33"/>
    </row>
    <row r="897" spans="1:7" s="54" customFormat="1" ht="11.4" customHeight="1" x14ac:dyDescent="0.3">
      <c r="A897" s="33"/>
      <c r="B897" s="33"/>
      <c r="C897" s="33"/>
      <c r="D897" s="33"/>
      <c r="E897" s="33"/>
      <c r="F897" s="33"/>
      <c r="G897" s="33"/>
    </row>
    <row r="898" spans="1:7" s="54" customFormat="1" ht="11.4" customHeight="1" x14ac:dyDescent="0.3">
      <c r="A898" s="33"/>
      <c r="B898" s="33"/>
      <c r="C898" s="33"/>
      <c r="D898" s="33"/>
      <c r="E898" s="33"/>
      <c r="F898" s="33"/>
      <c r="G898" s="33"/>
    </row>
    <row r="899" spans="1:7" s="54" customFormat="1" ht="11.4" customHeight="1" x14ac:dyDescent="0.3">
      <c r="A899" s="33"/>
      <c r="B899" s="33"/>
      <c r="C899" s="33"/>
      <c r="D899" s="33"/>
      <c r="E899" s="33"/>
      <c r="F899" s="33"/>
      <c r="G899" s="33"/>
    </row>
    <row r="900" spans="1:7" s="54" customFormat="1" ht="11.4" customHeight="1" x14ac:dyDescent="0.3">
      <c r="A900" s="33"/>
      <c r="B900" s="33"/>
      <c r="C900" s="33"/>
      <c r="D900" s="33"/>
      <c r="E900" s="33"/>
      <c r="F900" s="33"/>
      <c r="G900" s="33"/>
    </row>
    <row r="901" spans="1:7" s="54" customFormat="1" ht="11.4" customHeight="1" x14ac:dyDescent="0.3">
      <c r="A901" s="33"/>
      <c r="B901" s="33"/>
      <c r="C901" s="33"/>
      <c r="D901" s="33"/>
      <c r="E901" s="33"/>
      <c r="F901" s="33"/>
      <c r="G901" s="33"/>
    </row>
    <row r="902" spans="1:7" s="54" customFormat="1" ht="11.4" customHeight="1" x14ac:dyDescent="0.3">
      <c r="A902" s="33"/>
      <c r="B902" s="33"/>
      <c r="C902" s="33"/>
      <c r="D902" s="33"/>
      <c r="E902" s="33"/>
      <c r="F902" s="33"/>
      <c r="G902" s="33"/>
    </row>
    <row r="903" spans="1:7" s="54" customFormat="1" ht="11.4" customHeight="1" x14ac:dyDescent="0.3">
      <c r="A903" s="33"/>
      <c r="B903" s="33"/>
      <c r="C903" s="33"/>
      <c r="D903" s="33"/>
      <c r="E903" s="33"/>
      <c r="F903" s="33"/>
      <c r="G903" s="33"/>
    </row>
    <row r="904" spans="1:7" s="54" customFormat="1" ht="11.4" customHeight="1" x14ac:dyDescent="0.3">
      <c r="A904" s="33"/>
      <c r="B904" s="33"/>
      <c r="C904" s="33"/>
      <c r="D904" s="33"/>
      <c r="E904" s="33"/>
      <c r="F904" s="33"/>
      <c r="G904" s="33"/>
    </row>
    <row r="905" spans="1:7" s="54" customFormat="1" ht="11.4" customHeight="1" x14ac:dyDescent="0.3">
      <c r="A905" s="33"/>
      <c r="B905" s="33"/>
      <c r="C905" s="33"/>
      <c r="D905" s="33"/>
      <c r="E905" s="33"/>
      <c r="F905" s="33"/>
      <c r="G905" s="33"/>
    </row>
    <row r="906" spans="1:7" s="54" customFormat="1" ht="11.4" customHeight="1" x14ac:dyDescent="0.3">
      <c r="A906" s="33"/>
      <c r="B906" s="33"/>
      <c r="C906" s="33"/>
      <c r="D906" s="33"/>
      <c r="E906" s="33"/>
      <c r="F906" s="33"/>
      <c r="G906" s="33"/>
    </row>
    <row r="907" spans="1:7" s="54" customFormat="1" ht="11.4" customHeight="1" x14ac:dyDescent="0.3">
      <c r="A907" s="33"/>
      <c r="B907" s="33"/>
      <c r="C907" s="33"/>
      <c r="D907" s="33"/>
      <c r="E907" s="33"/>
      <c r="F907" s="33"/>
      <c r="G907" s="33"/>
    </row>
    <row r="908" spans="1:7" s="54" customFormat="1" ht="11.4" customHeight="1" x14ac:dyDescent="0.3">
      <c r="A908" s="33"/>
      <c r="B908" s="33"/>
      <c r="C908" s="33"/>
      <c r="D908" s="33"/>
      <c r="E908" s="33"/>
      <c r="F908" s="33"/>
      <c r="G908" s="33"/>
    </row>
    <row r="909" spans="1:7" s="54" customFormat="1" ht="11.4" customHeight="1" x14ac:dyDescent="0.3">
      <c r="A909" s="33"/>
      <c r="B909" s="33"/>
      <c r="C909" s="33"/>
      <c r="D909" s="33"/>
      <c r="E909" s="33"/>
      <c r="F909" s="33"/>
      <c r="G909" s="33"/>
    </row>
    <row r="910" spans="1:7" s="54" customFormat="1" ht="11.4" customHeight="1" x14ac:dyDescent="0.3">
      <c r="A910" s="33"/>
      <c r="B910" s="33"/>
      <c r="C910" s="33"/>
      <c r="D910" s="33"/>
      <c r="E910" s="33"/>
      <c r="F910" s="33"/>
      <c r="G910" s="33"/>
    </row>
    <row r="911" spans="1:7" s="54" customFormat="1" ht="11.4" customHeight="1" x14ac:dyDescent="0.3">
      <c r="A911" s="33"/>
      <c r="B911" s="33"/>
      <c r="C911" s="33"/>
      <c r="D911" s="33"/>
      <c r="E911" s="33"/>
      <c r="F911" s="33"/>
      <c r="G911" s="33"/>
    </row>
    <row r="912" spans="1:7" s="54" customFormat="1" ht="11.4" customHeight="1" x14ac:dyDescent="0.3">
      <c r="A912" s="33"/>
      <c r="B912" s="33"/>
      <c r="C912" s="33"/>
      <c r="D912" s="33"/>
      <c r="E912" s="33"/>
      <c r="F912" s="33"/>
      <c r="G912" s="33"/>
    </row>
    <row r="913" spans="1:7" s="54" customFormat="1" ht="11.4" customHeight="1" x14ac:dyDescent="0.3">
      <c r="A913" s="33"/>
      <c r="B913" s="33"/>
      <c r="C913" s="33"/>
      <c r="D913" s="33"/>
      <c r="E913" s="33"/>
      <c r="F913" s="33"/>
      <c r="G913" s="33"/>
    </row>
    <row r="914" spans="1:7" s="54" customFormat="1" ht="11.4" customHeight="1" x14ac:dyDescent="0.3">
      <c r="A914" s="33"/>
      <c r="B914" s="33"/>
      <c r="C914" s="33"/>
      <c r="D914" s="33"/>
      <c r="E914" s="33"/>
      <c r="F914" s="33"/>
      <c r="G914" s="33"/>
    </row>
    <row r="915" spans="1:7" s="54" customFormat="1" ht="11.4" customHeight="1" x14ac:dyDescent="0.3">
      <c r="A915" s="33"/>
      <c r="B915" s="33"/>
      <c r="C915" s="33"/>
      <c r="D915" s="33"/>
      <c r="E915" s="33"/>
      <c r="F915" s="33"/>
      <c r="G915" s="33"/>
    </row>
    <row r="916" spans="1:7" s="54" customFormat="1" ht="11.4" customHeight="1" x14ac:dyDescent="0.3">
      <c r="A916" s="33"/>
      <c r="B916" s="33"/>
      <c r="C916" s="33"/>
      <c r="D916" s="33"/>
      <c r="E916" s="33"/>
      <c r="F916" s="33"/>
      <c r="G916" s="33"/>
    </row>
    <row r="917" spans="1:7" s="54" customFormat="1" ht="11.4" customHeight="1" x14ac:dyDescent="0.3">
      <c r="A917" s="33"/>
      <c r="B917" s="33"/>
      <c r="C917" s="33"/>
      <c r="D917" s="33"/>
      <c r="E917" s="33"/>
      <c r="F917" s="33"/>
      <c r="G917" s="33"/>
    </row>
    <row r="918" spans="1:7" s="54" customFormat="1" ht="11.4" customHeight="1" x14ac:dyDescent="0.3">
      <c r="A918" s="33"/>
      <c r="B918" s="33"/>
      <c r="C918" s="33"/>
      <c r="D918" s="33"/>
      <c r="E918" s="33"/>
      <c r="F918" s="33"/>
      <c r="G918" s="33"/>
    </row>
    <row r="919" spans="1:7" s="54" customFormat="1" ht="11.4" customHeight="1" x14ac:dyDescent="0.3">
      <c r="A919" s="33"/>
      <c r="B919" s="33"/>
      <c r="C919" s="33"/>
      <c r="D919" s="33"/>
      <c r="E919" s="33"/>
      <c r="F919" s="33"/>
      <c r="G919" s="33"/>
    </row>
    <row r="920" spans="1:7" s="54" customFormat="1" ht="11.4" customHeight="1" x14ac:dyDescent="0.3">
      <c r="A920" s="33"/>
      <c r="B920" s="33"/>
      <c r="C920" s="33"/>
      <c r="D920" s="33"/>
      <c r="E920" s="33"/>
      <c r="F920" s="33"/>
      <c r="G920" s="33"/>
    </row>
    <row r="921" spans="1:7" s="54" customFormat="1" ht="11.4" customHeight="1" x14ac:dyDescent="0.3">
      <c r="A921" s="33"/>
      <c r="B921" s="33"/>
      <c r="C921" s="33"/>
      <c r="D921" s="33"/>
      <c r="E921" s="33"/>
      <c r="F921" s="33"/>
      <c r="G921" s="33"/>
    </row>
    <row r="922" spans="1:7" s="54" customFormat="1" ht="11.4" customHeight="1" x14ac:dyDescent="0.3">
      <c r="A922" s="33"/>
      <c r="B922" s="33"/>
      <c r="C922" s="33"/>
      <c r="D922" s="33"/>
      <c r="E922" s="33"/>
      <c r="F922" s="33"/>
      <c r="G922" s="33"/>
    </row>
    <row r="923" spans="1:7" s="54" customFormat="1" ht="11.4" customHeight="1" x14ac:dyDescent="0.3">
      <c r="A923" s="33"/>
      <c r="B923" s="33"/>
      <c r="C923" s="33"/>
      <c r="D923" s="33"/>
      <c r="E923" s="33"/>
      <c r="F923" s="33"/>
      <c r="G923" s="33"/>
    </row>
    <row r="924" spans="1:7" s="54" customFormat="1" ht="11.4" customHeight="1" x14ac:dyDescent="0.3">
      <c r="A924" s="33"/>
      <c r="B924" s="33"/>
      <c r="C924" s="33"/>
      <c r="D924" s="33"/>
      <c r="E924" s="33"/>
      <c r="F924" s="33"/>
      <c r="G924" s="33"/>
    </row>
    <row r="925" spans="1:7" s="54" customFormat="1" ht="11.4" customHeight="1" x14ac:dyDescent="0.3">
      <c r="A925" s="33"/>
      <c r="B925" s="33"/>
      <c r="C925" s="33"/>
      <c r="D925" s="33"/>
      <c r="E925" s="33"/>
      <c r="F925" s="33"/>
      <c r="G925" s="33"/>
    </row>
    <row r="926" spans="1:7" s="54" customFormat="1" ht="11.4" customHeight="1" x14ac:dyDescent="0.3">
      <c r="A926" s="33"/>
      <c r="B926" s="33"/>
      <c r="C926" s="33"/>
      <c r="D926" s="33"/>
      <c r="E926" s="33"/>
      <c r="F926" s="33"/>
      <c r="G926" s="33"/>
    </row>
    <row r="927" spans="1:7" s="54" customFormat="1" ht="11.4" customHeight="1" x14ac:dyDescent="0.3">
      <c r="A927" s="33"/>
      <c r="B927" s="33"/>
      <c r="C927" s="33"/>
      <c r="D927" s="33"/>
      <c r="E927" s="33"/>
      <c r="F927" s="33"/>
      <c r="G927" s="33"/>
    </row>
    <row r="928" spans="1:7" s="54" customFormat="1" ht="11.4" customHeight="1" x14ac:dyDescent="0.3">
      <c r="A928" s="33"/>
      <c r="B928" s="33"/>
      <c r="C928" s="33"/>
      <c r="D928" s="33"/>
      <c r="E928" s="33"/>
      <c r="F928" s="33"/>
      <c r="G928" s="33"/>
    </row>
    <row r="929" spans="1:7" s="54" customFormat="1" ht="11.4" customHeight="1" x14ac:dyDescent="0.3">
      <c r="A929" s="33"/>
      <c r="B929" s="33"/>
      <c r="C929" s="33"/>
      <c r="D929" s="33"/>
      <c r="E929" s="33"/>
      <c r="F929" s="33"/>
      <c r="G929" s="33"/>
    </row>
    <row r="930" spans="1:7" s="54" customFormat="1" ht="11.4" customHeight="1" x14ac:dyDescent="0.3">
      <c r="A930" s="33"/>
      <c r="B930" s="33"/>
      <c r="C930" s="33"/>
      <c r="D930" s="33"/>
      <c r="E930" s="33"/>
      <c r="F930" s="33"/>
      <c r="G930" s="33"/>
    </row>
    <row r="931" spans="1:7" s="54" customFormat="1" ht="11.4" customHeight="1" x14ac:dyDescent="0.3">
      <c r="A931" s="33"/>
      <c r="B931" s="33"/>
      <c r="C931" s="33"/>
      <c r="D931" s="33"/>
      <c r="E931" s="33"/>
      <c r="F931" s="33"/>
      <c r="G931" s="33"/>
    </row>
    <row r="932" spans="1:7" s="54" customFormat="1" ht="11.4" customHeight="1" x14ac:dyDescent="0.3">
      <c r="A932" s="33"/>
      <c r="B932" s="33"/>
      <c r="C932" s="33"/>
      <c r="D932" s="33"/>
      <c r="E932" s="33"/>
      <c r="F932" s="33"/>
      <c r="G932" s="33"/>
    </row>
    <row r="933" spans="1:7" s="54" customFormat="1" ht="11.4" customHeight="1" x14ac:dyDescent="0.3">
      <c r="A933" s="33"/>
      <c r="B933" s="33"/>
      <c r="C933" s="33"/>
      <c r="D933" s="33"/>
      <c r="E933" s="33"/>
      <c r="F933" s="33"/>
      <c r="G933" s="33"/>
    </row>
    <row r="934" spans="1:7" s="54" customFormat="1" ht="11.4" customHeight="1" x14ac:dyDescent="0.3">
      <c r="A934" s="33"/>
      <c r="B934" s="33"/>
      <c r="C934" s="33"/>
      <c r="D934" s="33"/>
      <c r="E934" s="33"/>
      <c r="F934" s="33"/>
      <c r="G934" s="33"/>
    </row>
    <row r="935" spans="1:7" s="54" customFormat="1" ht="11.4" customHeight="1" x14ac:dyDescent="0.3">
      <c r="A935" s="33"/>
      <c r="B935" s="33"/>
      <c r="C935" s="33"/>
      <c r="D935" s="33"/>
      <c r="E935" s="33"/>
      <c r="F935" s="33"/>
      <c r="G935" s="33"/>
    </row>
    <row r="936" spans="1:7" s="54" customFormat="1" ht="11.4" customHeight="1" x14ac:dyDescent="0.3">
      <c r="A936" s="33"/>
      <c r="B936" s="33"/>
      <c r="C936" s="33"/>
      <c r="D936" s="33"/>
      <c r="E936" s="33"/>
      <c r="F936" s="33"/>
      <c r="G936" s="33"/>
    </row>
    <row r="937" spans="1:7" s="54" customFormat="1" ht="11.4" customHeight="1" x14ac:dyDescent="0.3">
      <c r="A937" s="33"/>
      <c r="B937" s="33"/>
      <c r="C937" s="33"/>
      <c r="D937" s="33"/>
      <c r="E937" s="33"/>
      <c r="F937" s="33"/>
      <c r="G937" s="33"/>
    </row>
    <row r="938" spans="1:7" s="54" customFormat="1" ht="11.4" customHeight="1" x14ac:dyDescent="0.3">
      <c r="A938" s="33"/>
      <c r="B938" s="33"/>
      <c r="C938" s="33"/>
      <c r="D938" s="33"/>
      <c r="E938" s="33"/>
      <c r="F938" s="33"/>
      <c r="G938" s="33"/>
    </row>
    <row r="939" spans="1:7" s="54" customFormat="1" ht="11.4" customHeight="1" x14ac:dyDescent="0.3">
      <c r="A939" s="33"/>
      <c r="B939" s="33"/>
      <c r="C939" s="33"/>
      <c r="D939" s="33"/>
      <c r="E939" s="33"/>
      <c r="F939" s="33"/>
      <c r="G939" s="33"/>
    </row>
    <row r="940" spans="1:7" s="54" customFormat="1" ht="11.4" customHeight="1" x14ac:dyDescent="0.3">
      <c r="A940" s="33"/>
      <c r="B940" s="33"/>
      <c r="C940" s="33"/>
      <c r="D940" s="33"/>
      <c r="E940" s="33"/>
      <c r="F940" s="33"/>
      <c r="G940" s="33"/>
    </row>
    <row r="941" spans="1:7" s="54" customFormat="1" ht="11.4" customHeight="1" x14ac:dyDescent="0.3">
      <c r="A941" s="33"/>
      <c r="B941" s="33"/>
      <c r="C941" s="33"/>
      <c r="D941" s="33"/>
      <c r="E941" s="33"/>
      <c r="F941" s="33"/>
      <c r="G941" s="33"/>
    </row>
    <row r="942" spans="1:7" s="54" customFormat="1" ht="11.4" customHeight="1" x14ac:dyDescent="0.3">
      <c r="A942" s="33"/>
      <c r="B942" s="33"/>
      <c r="C942" s="33"/>
      <c r="D942" s="33"/>
      <c r="E942" s="33"/>
      <c r="F942" s="33"/>
      <c r="G942" s="33"/>
    </row>
    <row r="943" spans="1:7" s="54" customFormat="1" ht="11.4" customHeight="1" x14ac:dyDescent="0.3">
      <c r="A943" s="33"/>
      <c r="B943" s="33"/>
      <c r="C943" s="33"/>
      <c r="D943" s="33"/>
      <c r="E943" s="33"/>
      <c r="F943" s="33"/>
      <c r="G943" s="33"/>
    </row>
    <row r="944" spans="1:7" s="54" customFormat="1" ht="11.4" customHeight="1" x14ac:dyDescent="0.3">
      <c r="A944" s="33"/>
      <c r="B944" s="33"/>
      <c r="C944" s="33"/>
      <c r="D944" s="33"/>
      <c r="E944" s="33"/>
      <c r="F944" s="33"/>
      <c r="G944" s="33"/>
    </row>
    <row r="945" spans="1:7" s="54" customFormat="1" ht="11.4" customHeight="1" x14ac:dyDescent="0.3">
      <c r="A945" s="33"/>
      <c r="B945" s="33"/>
      <c r="C945" s="33"/>
      <c r="D945" s="33"/>
      <c r="E945" s="33"/>
      <c r="F945" s="33"/>
      <c r="G945" s="33"/>
    </row>
    <row r="946" spans="1:7" s="54" customFormat="1" ht="11.4" customHeight="1" x14ac:dyDescent="0.3">
      <c r="A946" s="33"/>
      <c r="B946" s="33"/>
      <c r="C946" s="33"/>
      <c r="D946" s="33"/>
      <c r="E946" s="33"/>
      <c r="F946" s="33"/>
      <c r="G946" s="33"/>
    </row>
    <row r="947" spans="1:7" s="54" customFormat="1" ht="11.4" customHeight="1" x14ac:dyDescent="0.3">
      <c r="A947" s="33"/>
      <c r="B947" s="33"/>
      <c r="C947" s="33"/>
      <c r="D947" s="33"/>
      <c r="E947" s="33"/>
      <c r="F947" s="33"/>
      <c r="G947" s="33"/>
    </row>
    <row r="948" spans="1:7" s="54" customFormat="1" ht="11.4" customHeight="1" x14ac:dyDescent="0.3">
      <c r="A948" s="33"/>
      <c r="B948" s="33"/>
      <c r="C948" s="33"/>
      <c r="D948" s="33"/>
      <c r="E948" s="33"/>
      <c r="F948" s="33"/>
      <c r="G948" s="33"/>
    </row>
    <row r="949" spans="1:7" s="54" customFormat="1" ht="11.4" customHeight="1" x14ac:dyDescent="0.3">
      <c r="A949" s="33"/>
      <c r="B949" s="33"/>
      <c r="C949" s="33"/>
      <c r="D949" s="33"/>
      <c r="E949" s="33"/>
      <c r="F949" s="33"/>
      <c r="G949" s="33"/>
    </row>
    <row r="950" spans="1:7" s="54" customFormat="1" ht="11.4" customHeight="1" x14ac:dyDescent="0.3">
      <c r="A950" s="33"/>
      <c r="B950" s="33"/>
      <c r="C950" s="33"/>
      <c r="D950" s="33"/>
      <c r="E950" s="33"/>
      <c r="F950" s="33"/>
      <c r="G950" s="33"/>
    </row>
    <row r="951" spans="1:7" s="54" customFormat="1" ht="11.4" customHeight="1" x14ac:dyDescent="0.3">
      <c r="A951" s="33"/>
      <c r="B951" s="33"/>
      <c r="C951" s="33"/>
      <c r="D951" s="33"/>
      <c r="E951" s="33"/>
      <c r="F951" s="33"/>
      <c r="G951" s="33"/>
    </row>
    <row r="952" spans="1:7" s="54" customFormat="1" ht="11.4" customHeight="1" x14ac:dyDescent="0.3">
      <c r="A952" s="33"/>
      <c r="B952" s="33"/>
      <c r="C952" s="33"/>
      <c r="D952" s="33"/>
      <c r="E952" s="33"/>
      <c r="F952" s="33"/>
      <c r="G952" s="33"/>
    </row>
    <row r="953" spans="1:7" s="54" customFormat="1" ht="11.4" customHeight="1" x14ac:dyDescent="0.3">
      <c r="A953" s="33"/>
      <c r="B953" s="33"/>
      <c r="C953" s="33"/>
      <c r="D953" s="33"/>
      <c r="E953" s="33"/>
      <c r="F953" s="33"/>
      <c r="G953" s="33"/>
    </row>
    <row r="954" spans="1:7" s="54" customFormat="1" ht="11.4" customHeight="1" x14ac:dyDescent="0.3">
      <c r="A954" s="33"/>
      <c r="B954" s="33"/>
      <c r="C954" s="33"/>
      <c r="D954" s="33"/>
      <c r="E954" s="33"/>
      <c r="F954" s="33"/>
      <c r="G954" s="33"/>
    </row>
    <row r="955" spans="1:7" s="54" customFormat="1" ht="11.4" customHeight="1" x14ac:dyDescent="0.3">
      <c r="A955" s="33"/>
      <c r="B955" s="33"/>
      <c r="C955" s="33"/>
      <c r="D955" s="33"/>
      <c r="E955" s="33"/>
      <c r="F955" s="33"/>
      <c r="G955" s="33"/>
    </row>
    <row r="956" spans="1:7" s="54" customFormat="1" ht="11.4" customHeight="1" x14ac:dyDescent="0.3">
      <c r="A956" s="33"/>
      <c r="B956" s="33"/>
      <c r="C956" s="33"/>
      <c r="D956" s="33"/>
      <c r="E956" s="33"/>
      <c r="F956" s="33"/>
      <c r="G956" s="33"/>
    </row>
    <row r="957" spans="1:7" s="54" customFormat="1" ht="11.4" customHeight="1" x14ac:dyDescent="0.3">
      <c r="A957" s="33"/>
      <c r="B957" s="33"/>
      <c r="C957" s="33"/>
      <c r="D957" s="33"/>
      <c r="E957" s="33"/>
      <c r="F957" s="33"/>
      <c r="G957" s="33"/>
    </row>
    <row r="958" spans="1:7" s="54" customFormat="1" ht="11.4" customHeight="1" x14ac:dyDescent="0.3">
      <c r="A958" s="33"/>
      <c r="B958" s="33"/>
      <c r="C958" s="33"/>
      <c r="D958" s="33"/>
      <c r="E958" s="33"/>
      <c r="F958" s="33"/>
      <c r="G958" s="33"/>
    </row>
    <row r="959" spans="1:7" s="54" customFormat="1" ht="11.4" customHeight="1" x14ac:dyDescent="0.3">
      <c r="A959" s="33"/>
      <c r="B959" s="33"/>
      <c r="C959" s="33"/>
      <c r="D959" s="33"/>
      <c r="E959" s="33"/>
      <c r="F959" s="33"/>
      <c r="G959" s="33"/>
    </row>
    <row r="960" spans="1:7" s="54" customFormat="1" ht="11.4" customHeight="1" x14ac:dyDescent="0.3">
      <c r="A960" s="33"/>
      <c r="B960" s="33"/>
      <c r="C960" s="33"/>
      <c r="D960" s="33"/>
      <c r="E960" s="33"/>
      <c r="F960" s="33"/>
      <c r="G960" s="33"/>
    </row>
    <row r="961" spans="1:7" s="54" customFormat="1" ht="11.4" customHeight="1" x14ac:dyDescent="0.3">
      <c r="A961" s="33"/>
      <c r="B961" s="33"/>
      <c r="C961" s="33"/>
      <c r="D961" s="33"/>
      <c r="E961" s="33"/>
      <c r="F961" s="33"/>
      <c r="G961" s="33"/>
    </row>
    <row r="962" spans="1:7" s="54" customFormat="1" ht="11.4" customHeight="1" x14ac:dyDescent="0.3">
      <c r="A962" s="33"/>
      <c r="B962" s="33"/>
      <c r="C962" s="33"/>
      <c r="D962" s="33"/>
      <c r="E962" s="33"/>
      <c r="F962" s="33"/>
      <c r="G962" s="33"/>
    </row>
    <row r="963" spans="1:7" s="54" customFormat="1" ht="11.4" customHeight="1" x14ac:dyDescent="0.3">
      <c r="A963" s="33"/>
      <c r="B963" s="33"/>
      <c r="C963" s="33"/>
      <c r="D963" s="33"/>
      <c r="E963" s="33"/>
      <c r="F963" s="33"/>
      <c r="G963" s="33"/>
    </row>
    <row r="964" spans="1:7" s="54" customFormat="1" ht="11.4" customHeight="1" x14ac:dyDescent="0.3">
      <c r="A964" s="33"/>
      <c r="B964" s="33"/>
      <c r="C964" s="33"/>
      <c r="D964" s="33"/>
      <c r="E964" s="33"/>
      <c r="F964" s="33"/>
      <c r="G964" s="33"/>
    </row>
    <row r="965" spans="1:7" s="54" customFormat="1" ht="11.4" customHeight="1" x14ac:dyDescent="0.3">
      <c r="A965" s="33"/>
      <c r="B965" s="33"/>
      <c r="C965" s="33"/>
      <c r="D965" s="33"/>
      <c r="E965" s="33"/>
      <c r="F965" s="33"/>
      <c r="G965" s="33"/>
    </row>
    <row r="966" spans="1:7" s="54" customFormat="1" ht="11.4" customHeight="1" x14ac:dyDescent="0.3">
      <c r="A966" s="33"/>
      <c r="B966" s="33"/>
      <c r="C966" s="33"/>
      <c r="D966" s="33"/>
      <c r="E966" s="33"/>
      <c r="F966" s="33"/>
      <c r="G966" s="33"/>
    </row>
    <row r="967" spans="1:7" s="54" customFormat="1" ht="11.4" customHeight="1" x14ac:dyDescent="0.3">
      <c r="A967" s="33"/>
      <c r="B967" s="33"/>
      <c r="C967" s="33"/>
      <c r="D967" s="33"/>
      <c r="E967" s="33"/>
      <c r="F967" s="33"/>
      <c r="G967" s="33"/>
    </row>
    <row r="968" spans="1:7" s="54" customFormat="1" ht="11.4" customHeight="1" x14ac:dyDescent="0.3">
      <c r="A968" s="33"/>
      <c r="B968" s="33"/>
      <c r="C968" s="33"/>
      <c r="D968" s="33"/>
      <c r="E968" s="33"/>
      <c r="F968" s="33"/>
      <c r="G968" s="33"/>
    </row>
    <row r="969" spans="1:7" s="54" customFormat="1" ht="11.4" customHeight="1" x14ac:dyDescent="0.3">
      <c r="A969" s="33"/>
      <c r="B969" s="33"/>
      <c r="C969" s="33"/>
      <c r="D969" s="33"/>
      <c r="E969" s="33"/>
      <c r="F969" s="33"/>
      <c r="G969" s="33"/>
    </row>
    <row r="970" spans="1:7" s="54" customFormat="1" ht="11.4" customHeight="1" x14ac:dyDescent="0.3">
      <c r="A970" s="33"/>
      <c r="B970" s="33"/>
      <c r="C970" s="33"/>
      <c r="D970" s="33"/>
      <c r="E970" s="33"/>
      <c r="F970" s="33"/>
      <c r="G970" s="33"/>
    </row>
    <row r="971" spans="1:7" s="54" customFormat="1" ht="11.4" customHeight="1" x14ac:dyDescent="0.3">
      <c r="A971" s="33"/>
      <c r="B971" s="33"/>
      <c r="C971" s="33"/>
      <c r="D971" s="33"/>
      <c r="E971" s="33"/>
      <c r="F971" s="33"/>
      <c r="G971" s="33"/>
    </row>
    <row r="972" spans="1:7" s="54" customFormat="1" ht="11.4" customHeight="1" x14ac:dyDescent="0.3">
      <c r="A972" s="33"/>
      <c r="B972" s="33"/>
      <c r="C972" s="33"/>
      <c r="D972" s="33"/>
      <c r="E972" s="33"/>
      <c r="F972" s="33"/>
      <c r="G972" s="33"/>
    </row>
    <row r="973" spans="1:7" s="54" customFormat="1" ht="11.4" customHeight="1" x14ac:dyDescent="0.3">
      <c r="A973" s="33"/>
      <c r="B973" s="33"/>
      <c r="C973" s="33"/>
      <c r="D973" s="33"/>
      <c r="E973" s="33"/>
      <c r="F973" s="33"/>
      <c r="G973" s="33"/>
    </row>
    <row r="974" spans="1:7" s="54" customFormat="1" ht="11.4" customHeight="1" x14ac:dyDescent="0.3">
      <c r="A974" s="33"/>
      <c r="B974" s="33"/>
      <c r="C974" s="33"/>
      <c r="D974" s="33"/>
      <c r="E974" s="33"/>
      <c r="F974" s="33"/>
      <c r="G974" s="33"/>
    </row>
    <row r="975" spans="1:7" s="54" customFormat="1" ht="11.4" customHeight="1" x14ac:dyDescent="0.3">
      <c r="A975" s="33"/>
      <c r="B975" s="33"/>
      <c r="C975" s="33"/>
      <c r="D975" s="33"/>
      <c r="E975" s="33"/>
      <c r="F975" s="33"/>
      <c r="G975" s="33"/>
    </row>
    <row r="976" spans="1:7" s="54" customFormat="1" ht="11.4" customHeight="1" x14ac:dyDescent="0.3">
      <c r="A976" s="33"/>
      <c r="B976" s="33"/>
      <c r="C976" s="33"/>
      <c r="D976" s="33"/>
      <c r="E976" s="33"/>
      <c r="F976" s="33"/>
      <c r="G976" s="33"/>
    </row>
    <row r="977" spans="1:7" s="54" customFormat="1" ht="11.4" customHeight="1" x14ac:dyDescent="0.3">
      <c r="A977" s="33"/>
      <c r="B977" s="33"/>
      <c r="C977" s="33"/>
      <c r="D977" s="33"/>
      <c r="E977" s="33"/>
      <c r="F977" s="33"/>
      <c r="G977" s="33"/>
    </row>
    <row r="978" spans="1:7" s="54" customFormat="1" ht="11.4" customHeight="1" x14ac:dyDescent="0.3">
      <c r="A978" s="33"/>
      <c r="B978" s="33"/>
      <c r="C978" s="33"/>
      <c r="D978" s="33"/>
      <c r="E978" s="33"/>
      <c r="F978" s="33"/>
      <c r="G978" s="33"/>
    </row>
    <row r="979" spans="1:7" s="54" customFormat="1" ht="11.4" customHeight="1" x14ac:dyDescent="0.3">
      <c r="A979" s="33"/>
      <c r="B979" s="33"/>
      <c r="C979" s="33"/>
      <c r="D979" s="33"/>
      <c r="E979" s="33"/>
      <c r="F979" s="33"/>
      <c r="G979" s="33"/>
    </row>
    <row r="980" spans="1:7" s="54" customFormat="1" ht="11.4" customHeight="1" x14ac:dyDescent="0.3">
      <c r="A980" s="33"/>
      <c r="B980" s="33"/>
      <c r="C980" s="33"/>
      <c r="D980" s="33"/>
      <c r="E980" s="33"/>
      <c r="F980" s="33"/>
      <c r="G980" s="33"/>
    </row>
    <row r="981" spans="1:7" s="54" customFormat="1" ht="11.4" customHeight="1" x14ac:dyDescent="0.3">
      <c r="A981" s="33"/>
      <c r="B981" s="33"/>
      <c r="C981" s="33"/>
      <c r="D981" s="33"/>
      <c r="E981" s="33"/>
      <c r="F981" s="33"/>
      <c r="G981" s="33"/>
    </row>
    <row r="982" spans="1:7" s="54" customFormat="1" ht="11.4" customHeight="1" x14ac:dyDescent="0.3">
      <c r="A982" s="33"/>
      <c r="B982" s="33"/>
      <c r="C982" s="33"/>
      <c r="D982" s="33"/>
      <c r="E982" s="33"/>
      <c r="F982" s="33"/>
      <c r="G982" s="33"/>
    </row>
    <row r="983" spans="1:7" s="54" customFormat="1" ht="11.4" customHeight="1" x14ac:dyDescent="0.3">
      <c r="A983" s="33"/>
      <c r="B983" s="33"/>
      <c r="C983" s="33"/>
      <c r="D983" s="33"/>
      <c r="E983" s="33"/>
      <c r="F983" s="33"/>
      <c r="G983" s="33"/>
    </row>
    <row r="984" spans="1:7" s="54" customFormat="1" ht="11.4" customHeight="1" x14ac:dyDescent="0.3">
      <c r="A984" s="33"/>
      <c r="B984" s="33"/>
      <c r="C984" s="33"/>
      <c r="D984" s="33"/>
      <c r="E984" s="33"/>
      <c r="F984" s="33"/>
      <c r="G984" s="33"/>
    </row>
    <row r="985" spans="1:7" s="54" customFormat="1" ht="11.4" customHeight="1" x14ac:dyDescent="0.3">
      <c r="A985" s="33"/>
      <c r="B985" s="33"/>
      <c r="C985" s="33"/>
      <c r="D985" s="33"/>
      <c r="E985" s="33"/>
      <c r="F985" s="33"/>
      <c r="G985" s="33"/>
    </row>
    <row r="986" spans="1:7" s="54" customFormat="1" ht="11.4" customHeight="1" x14ac:dyDescent="0.3">
      <c r="A986" s="33"/>
      <c r="B986" s="33"/>
      <c r="C986" s="33"/>
      <c r="D986" s="33"/>
      <c r="E986" s="33"/>
      <c r="F986" s="33"/>
      <c r="G986" s="33"/>
    </row>
    <row r="987" spans="1:7" s="54" customFormat="1" ht="11.4" customHeight="1" x14ac:dyDescent="0.3">
      <c r="A987" s="33"/>
      <c r="B987" s="33"/>
      <c r="C987" s="33"/>
      <c r="D987" s="33"/>
      <c r="E987" s="33"/>
      <c r="F987" s="33"/>
      <c r="G987" s="33"/>
    </row>
    <row r="988" spans="1:7" s="54" customFormat="1" ht="11.4" customHeight="1" x14ac:dyDescent="0.3">
      <c r="A988" s="33"/>
      <c r="B988" s="33"/>
      <c r="C988" s="33"/>
      <c r="D988" s="33"/>
      <c r="E988" s="33"/>
      <c r="F988" s="33"/>
      <c r="G988" s="33"/>
    </row>
    <row r="989" spans="1:7" s="54" customFormat="1" ht="11.4" customHeight="1" x14ac:dyDescent="0.3">
      <c r="A989" s="33"/>
      <c r="B989" s="33"/>
      <c r="C989" s="33"/>
      <c r="D989" s="33"/>
      <c r="E989" s="33"/>
      <c r="F989" s="33"/>
      <c r="G989" s="33"/>
    </row>
    <row r="990" spans="1:7" s="54" customFormat="1" ht="11.4" customHeight="1" x14ac:dyDescent="0.3">
      <c r="A990" s="33"/>
      <c r="B990" s="33"/>
      <c r="C990" s="33"/>
      <c r="D990" s="33"/>
      <c r="E990" s="33"/>
      <c r="F990" s="33"/>
      <c r="G990" s="33"/>
    </row>
    <row r="991" spans="1:7" s="54" customFormat="1" ht="11.4" customHeight="1" x14ac:dyDescent="0.3">
      <c r="A991" s="33"/>
      <c r="B991" s="33"/>
      <c r="C991" s="33"/>
      <c r="D991" s="33"/>
      <c r="E991" s="33"/>
      <c r="F991" s="33"/>
      <c r="G991" s="33"/>
    </row>
    <row r="992" spans="1:7" s="54" customFormat="1" ht="11.4" customHeight="1" x14ac:dyDescent="0.3">
      <c r="A992" s="33"/>
      <c r="B992" s="33"/>
      <c r="C992" s="33"/>
      <c r="D992" s="33"/>
      <c r="E992" s="33"/>
      <c r="F992" s="33"/>
      <c r="G992" s="33"/>
    </row>
    <row r="993" spans="1:7" s="54" customFormat="1" ht="11.4" customHeight="1" x14ac:dyDescent="0.3">
      <c r="A993" s="33"/>
      <c r="B993" s="33"/>
      <c r="C993" s="33"/>
      <c r="D993" s="33"/>
      <c r="E993" s="33"/>
      <c r="F993" s="33"/>
      <c r="G993" s="33"/>
    </row>
    <row r="994" spans="1:7" s="54" customFormat="1" ht="11.4" customHeight="1" x14ac:dyDescent="0.3">
      <c r="A994" s="33"/>
      <c r="B994" s="33"/>
      <c r="C994" s="33"/>
      <c r="D994" s="33"/>
      <c r="E994" s="33"/>
      <c r="F994" s="33"/>
      <c r="G994" s="33"/>
    </row>
    <row r="995" spans="1:7" s="54" customFormat="1" ht="11.4" customHeight="1" x14ac:dyDescent="0.3">
      <c r="A995" s="33"/>
      <c r="B995" s="33"/>
      <c r="C995" s="33"/>
      <c r="D995" s="33"/>
      <c r="E995" s="33"/>
      <c r="F995" s="33"/>
      <c r="G995" s="33"/>
    </row>
    <row r="996" spans="1:7" s="54" customFormat="1" ht="11.4" customHeight="1" x14ac:dyDescent="0.3">
      <c r="A996" s="33"/>
      <c r="B996" s="33"/>
      <c r="C996" s="33"/>
      <c r="D996" s="33"/>
      <c r="E996" s="33"/>
      <c r="F996" s="33"/>
      <c r="G996" s="33"/>
    </row>
    <row r="997" spans="1:7" s="54" customFormat="1" ht="11.4" customHeight="1" x14ac:dyDescent="0.3">
      <c r="A997" s="33"/>
      <c r="B997" s="33"/>
      <c r="C997" s="33"/>
      <c r="D997" s="33"/>
      <c r="E997" s="33"/>
      <c r="F997" s="33"/>
      <c r="G997" s="33"/>
    </row>
    <row r="998" spans="1:7" s="54" customFormat="1" ht="11.4" customHeight="1" x14ac:dyDescent="0.3">
      <c r="A998" s="33"/>
      <c r="B998" s="33"/>
      <c r="C998" s="33"/>
      <c r="D998" s="33"/>
      <c r="E998" s="33"/>
      <c r="F998" s="33"/>
      <c r="G998" s="33"/>
    </row>
    <row r="999" spans="1:7" s="54" customFormat="1" ht="11.4" customHeight="1" x14ac:dyDescent="0.3">
      <c r="A999" s="33"/>
      <c r="B999" s="33"/>
      <c r="C999" s="33"/>
      <c r="D999" s="33"/>
      <c r="E999" s="33"/>
      <c r="F999" s="33"/>
      <c r="G999" s="3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9"/>
  <sheetViews>
    <sheetView workbookViewId="0">
      <selection activeCell="M13" sqref="K8:M13"/>
    </sheetView>
  </sheetViews>
  <sheetFormatPr defaultColWidth="14.44140625" defaultRowHeight="14.4" x14ac:dyDescent="0.3"/>
  <cols>
    <col min="1" max="1" width="3" style="54" customWidth="1"/>
    <col min="2" max="2" width="28" style="54" customWidth="1"/>
    <col min="3" max="4" width="14" style="54" customWidth="1"/>
    <col min="5" max="9" width="12" style="54" customWidth="1"/>
    <col min="10" max="26" width="8.6640625" style="54" customWidth="1"/>
  </cols>
  <sheetData>
    <row r="1" spans="1:26" s="54" customFormat="1" ht="11.4" customHeight="1" x14ac:dyDescent="0.3">
      <c r="A1" s="33"/>
      <c r="B1" s="33"/>
      <c r="C1" s="33"/>
      <c r="D1" s="33"/>
      <c r="E1" s="33"/>
      <c r="F1" s="33"/>
      <c r="G1" s="33"/>
      <c r="H1" s="33"/>
      <c r="I1" s="33"/>
    </row>
    <row r="2" spans="1:26" s="54" customFormat="1" ht="11.4" customHeight="1" x14ac:dyDescent="0.3">
      <c r="A2" s="33"/>
      <c r="B2" s="33"/>
      <c r="C2" s="33"/>
      <c r="D2" s="33"/>
      <c r="E2" s="33"/>
      <c r="F2" s="33"/>
      <c r="G2" s="33"/>
      <c r="H2" s="33"/>
      <c r="I2" s="33"/>
    </row>
    <row r="3" spans="1:26" s="54" customFormat="1" ht="12" customHeight="1" x14ac:dyDescent="0.3">
      <c r="A3" s="33"/>
      <c r="B3" s="10" t="s">
        <v>105</v>
      </c>
      <c r="C3" s="33"/>
      <c r="D3" s="33"/>
      <c r="E3" s="33"/>
      <c r="F3" s="33"/>
      <c r="G3" s="33"/>
      <c r="H3" s="33"/>
      <c r="I3" s="33"/>
      <c r="X3" s="34"/>
      <c r="Y3" s="34"/>
      <c r="Z3" s="34"/>
    </row>
    <row r="4" spans="1:26" s="54" customFormat="1" ht="11.4" customHeight="1" x14ac:dyDescent="0.3">
      <c r="A4" s="33"/>
      <c r="B4" s="33"/>
      <c r="C4" s="33"/>
      <c r="D4" s="33"/>
      <c r="E4" s="33"/>
      <c r="F4" s="33"/>
      <c r="G4" s="33"/>
      <c r="H4" s="33"/>
      <c r="I4" s="33"/>
      <c r="X4" s="34"/>
      <c r="Y4" s="34"/>
      <c r="Z4" s="34"/>
    </row>
    <row r="5" spans="1:26" s="54" customFormat="1" ht="12" customHeight="1" x14ac:dyDescent="0.3">
      <c r="A5" s="33"/>
      <c r="B5" s="37" t="s">
        <v>106</v>
      </c>
      <c r="C5" s="37" t="s">
        <v>107</v>
      </c>
      <c r="D5" s="37" t="s">
        <v>108</v>
      </c>
      <c r="E5" s="37" t="s">
        <v>95</v>
      </c>
      <c r="F5" s="37" t="s">
        <v>96</v>
      </c>
      <c r="G5" s="37" t="s">
        <v>97</v>
      </c>
      <c r="H5" s="37" t="s">
        <v>98</v>
      </c>
      <c r="I5" s="37" t="s">
        <v>99</v>
      </c>
      <c r="X5" s="34"/>
      <c r="Y5" s="34"/>
      <c r="Z5" s="34"/>
    </row>
    <row r="6" spans="1:26" s="54" customFormat="1" ht="12" customHeight="1" x14ac:dyDescent="0.3">
      <c r="A6" s="33"/>
      <c r="B6" s="41" t="s">
        <v>109</v>
      </c>
      <c r="C6" s="35">
        <v>300</v>
      </c>
      <c r="D6" s="36">
        <f>Допущения!D33</f>
        <v>632.35108132034907</v>
      </c>
      <c r="E6" s="35">
        <v>300</v>
      </c>
      <c r="F6" s="35">
        <v>280</v>
      </c>
      <c r="G6" s="35">
        <v>280</v>
      </c>
      <c r="H6" s="35">
        <v>260</v>
      </c>
      <c r="I6" s="35">
        <v>260</v>
      </c>
      <c r="X6" s="34"/>
      <c r="Y6" s="34"/>
      <c r="Z6" s="34"/>
    </row>
    <row r="7" spans="1:26" s="54" customFormat="1" ht="12" customHeight="1" x14ac:dyDescent="0.3">
      <c r="A7" s="33"/>
      <c r="B7" s="41" t="s">
        <v>82</v>
      </c>
      <c r="C7" s="35">
        <v>12</v>
      </c>
      <c r="D7" s="36">
        <f>Допущения!D34</f>
        <v>417.35171367143039</v>
      </c>
      <c r="E7" s="35">
        <v>12</v>
      </c>
      <c r="F7" s="35">
        <v>12</v>
      </c>
      <c r="G7" s="35">
        <v>12</v>
      </c>
      <c r="H7" s="35">
        <v>12</v>
      </c>
      <c r="I7" s="35">
        <v>12</v>
      </c>
      <c r="X7" s="34"/>
      <c r="Y7" s="34"/>
      <c r="Z7" s="34"/>
    </row>
    <row r="8" spans="1:26" s="54" customFormat="1" ht="12" customHeight="1" x14ac:dyDescent="0.3">
      <c r="A8" s="33"/>
      <c r="B8" s="41" t="s">
        <v>110</v>
      </c>
      <c r="C8" s="35">
        <v>3200</v>
      </c>
      <c r="D8" s="36">
        <f>Допущения!D35</f>
        <v>379.41064879220949</v>
      </c>
      <c r="E8" s="35">
        <v>3000</v>
      </c>
      <c r="F8" s="35">
        <v>2800</v>
      </c>
      <c r="G8" s="35">
        <v>2800</v>
      </c>
      <c r="H8" s="35">
        <v>2500</v>
      </c>
      <c r="I8" s="35">
        <v>2300</v>
      </c>
      <c r="X8" s="34"/>
      <c r="Y8" s="34"/>
      <c r="Z8" s="34"/>
    </row>
    <row r="9" spans="1:26" s="54" customFormat="1" ht="12" customHeight="1" x14ac:dyDescent="0.3">
      <c r="A9" s="33"/>
      <c r="B9" s="41" t="s">
        <v>111</v>
      </c>
      <c r="C9" s="35">
        <v>12000</v>
      </c>
      <c r="D9" s="36">
        <f>Допущения!D36</f>
        <v>126.47021626406982</v>
      </c>
      <c r="E9" s="35">
        <v>12000</v>
      </c>
      <c r="F9" s="35">
        <v>12000</v>
      </c>
      <c r="G9" s="35">
        <v>8000</v>
      </c>
      <c r="H9" s="35">
        <v>8000</v>
      </c>
      <c r="I9" s="35">
        <v>6000</v>
      </c>
      <c r="K9" s="53"/>
      <c r="X9" s="34"/>
      <c r="Y9" s="34"/>
      <c r="Z9" s="34"/>
    </row>
    <row r="10" spans="1:26" s="54" customFormat="1" ht="12" customHeight="1" x14ac:dyDescent="0.3">
      <c r="A10" s="33"/>
      <c r="B10" s="41" t="s">
        <v>88</v>
      </c>
      <c r="C10" s="35">
        <v>1</v>
      </c>
      <c r="D10" s="36">
        <f>Допущения!D37</f>
        <v>252.94043252813964</v>
      </c>
      <c r="E10" s="35">
        <v>1</v>
      </c>
      <c r="F10" s="35">
        <v>1</v>
      </c>
      <c r="G10" s="35">
        <v>1</v>
      </c>
      <c r="H10" s="35">
        <v>1</v>
      </c>
      <c r="I10" s="35">
        <v>1</v>
      </c>
      <c r="X10" s="34"/>
      <c r="Y10" s="34"/>
      <c r="Z10" s="34"/>
    </row>
    <row r="11" spans="1:26" s="54" customFormat="1" ht="11.4" customHeight="1" x14ac:dyDescent="0.3">
      <c r="A11" s="33"/>
      <c r="B11" s="33"/>
      <c r="C11" s="33"/>
      <c r="D11" s="33"/>
      <c r="E11" s="33"/>
      <c r="F11" s="33"/>
      <c r="G11" s="33"/>
      <c r="H11" s="33"/>
      <c r="I11" s="33"/>
      <c r="X11" s="34"/>
      <c r="Y11" s="34"/>
      <c r="Z11" s="34"/>
    </row>
    <row r="12" spans="1:26" s="54" customFormat="1" ht="12" customHeight="1" x14ac:dyDescent="0.3">
      <c r="A12" s="33"/>
      <c r="B12" s="31" t="s">
        <v>112</v>
      </c>
      <c r="C12" s="33"/>
      <c r="D12" s="33"/>
      <c r="E12" s="32">
        <f>C6*D6+C7*D7+C8*D8+C9*D9+C10*D10</f>
        <v>2926723.156696598</v>
      </c>
      <c r="F12" s="32">
        <f>F6*D6+F7*D7+F8*D8+F9*D9+F10*D10</f>
        <v>2762311.8755533071</v>
      </c>
      <c r="G12" s="32">
        <f>G6*D6+G7*D7+G8*D8+G9*D9+G10*D10</f>
        <v>2256431.010497028</v>
      </c>
      <c r="H12" s="32">
        <f>H6*D6+H7*D7+H8*D8+H9*D9+H10*D10</f>
        <v>2129960.7942329585</v>
      </c>
      <c r="I12" s="32">
        <f>I6*D6+I7*D7+I8*D8+I9*D9+I10*D10</f>
        <v>1801138.2319463766</v>
      </c>
      <c r="X12" s="34"/>
      <c r="Y12" s="34"/>
      <c r="Z12" s="34"/>
    </row>
    <row r="13" spans="1:26" s="54" customFormat="1" ht="11.4" customHeight="1" x14ac:dyDescent="0.3">
      <c r="A13" s="33"/>
      <c r="B13" s="33"/>
      <c r="C13" s="33"/>
      <c r="D13" s="33"/>
      <c r="E13" s="33"/>
      <c r="F13" s="33"/>
      <c r="G13" s="33"/>
      <c r="H13" s="33"/>
      <c r="I13" s="33"/>
      <c r="X13" s="34"/>
      <c r="Y13" s="34"/>
      <c r="Z13" s="34"/>
    </row>
    <row r="14" spans="1:26" s="54" customFormat="1" ht="11.4" customHeight="1" x14ac:dyDescent="0.3">
      <c r="A14" s="33"/>
      <c r="B14" s="33"/>
      <c r="C14" s="33"/>
      <c r="D14" s="33"/>
      <c r="E14" s="33"/>
      <c r="F14" s="33"/>
      <c r="G14" s="33"/>
      <c r="H14" s="33"/>
      <c r="I14" s="33"/>
      <c r="X14" s="34"/>
      <c r="Y14" s="34"/>
      <c r="Z14" s="34"/>
    </row>
    <row r="15" spans="1:26" s="54" customFormat="1" ht="12" customHeight="1" x14ac:dyDescent="0.3">
      <c r="A15" s="33"/>
      <c r="B15" s="10" t="s">
        <v>113</v>
      </c>
      <c r="C15" s="33"/>
      <c r="D15" s="33"/>
      <c r="E15" s="33"/>
      <c r="F15" s="33"/>
      <c r="G15" s="33"/>
      <c r="H15" s="33"/>
      <c r="I15" s="33"/>
      <c r="X15" s="34"/>
      <c r="Y15" s="34"/>
      <c r="Z15" s="34"/>
    </row>
    <row r="16" spans="1:26" s="54" customFormat="1" ht="11.4" customHeight="1" x14ac:dyDescent="0.3">
      <c r="A16" s="33"/>
      <c r="B16" s="33"/>
      <c r="C16" s="33"/>
      <c r="D16" s="33"/>
      <c r="E16" s="33"/>
      <c r="F16" s="33"/>
      <c r="G16" s="33"/>
      <c r="H16" s="33"/>
      <c r="I16" s="33"/>
      <c r="P16" s="34"/>
      <c r="Q16" s="34"/>
      <c r="R16" s="34"/>
      <c r="S16" s="34"/>
      <c r="T16" s="34"/>
      <c r="U16" s="34"/>
      <c r="V16" s="34"/>
      <c r="W16" s="34"/>
      <c r="X16" s="34"/>
      <c r="Y16" s="34"/>
      <c r="Z16" s="34"/>
    </row>
    <row r="17" spans="1:26" s="54" customFormat="1" ht="12" customHeight="1" x14ac:dyDescent="0.3">
      <c r="A17" s="33"/>
      <c r="B17" s="37" t="s">
        <v>106</v>
      </c>
      <c r="C17" s="37" t="s">
        <v>107</v>
      </c>
      <c r="D17" s="37" t="s">
        <v>108</v>
      </c>
      <c r="E17" s="37" t="s">
        <v>95</v>
      </c>
      <c r="F17" s="37" t="s">
        <v>96</v>
      </c>
      <c r="G17" s="37" t="s">
        <v>97</v>
      </c>
      <c r="H17" s="37" t="s">
        <v>98</v>
      </c>
      <c r="I17" s="37" t="s">
        <v>99</v>
      </c>
      <c r="P17" s="34"/>
      <c r="Q17" s="34"/>
      <c r="R17" s="34"/>
      <c r="S17" s="34"/>
      <c r="T17" s="34"/>
      <c r="U17" s="34"/>
      <c r="V17" s="34"/>
      <c r="W17" s="34"/>
      <c r="X17" s="34"/>
      <c r="Y17" s="34"/>
      <c r="Z17" s="34"/>
    </row>
    <row r="18" spans="1:26" s="54" customFormat="1" ht="12" customHeight="1" x14ac:dyDescent="0.3">
      <c r="A18" s="33"/>
      <c r="B18" s="41" t="s">
        <v>109</v>
      </c>
      <c r="C18" s="35">
        <v>300</v>
      </c>
      <c r="D18" s="36">
        <f>Допущения!D33</f>
        <v>632.35108132034907</v>
      </c>
      <c r="E18" s="35">
        <v>300</v>
      </c>
      <c r="F18" s="35">
        <v>280</v>
      </c>
      <c r="G18" s="35">
        <v>280</v>
      </c>
      <c r="H18" s="35">
        <v>260</v>
      </c>
      <c r="I18" s="35">
        <v>260</v>
      </c>
      <c r="P18" s="34"/>
      <c r="Q18" s="34"/>
      <c r="R18" s="34"/>
      <c r="S18" s="34"/>
      <c r="T18" s="34"/>
      <c r="U18" s="34"/>
      <c r="V18" s="34"/>
      <c r="W18" s="34"/>
      <c r="X18" s="34"/>
      <c r="Y18" s="34"/>
      <c r="Z18" s="34"/>
    </row>
    <row r="19" spans="1:26" s="54" customFormat="1" ht="12" customHeight="1" x14ac:dyDescent="0.3">
      <c r="A19" s="33"/>
      <c r="B19" s="41" t="s">
        <v>82</v>
      </c>
      <c r="C19" s="35">
        <v>12</v>
      </c>
      <c r="D19" s="36">
        <f>Допущения!D34</f>
        <v>417.35171367143039</v>
      </c>
      <c r="E19" s="35">
        <v>12</v>
      </c>
      <c r="F19" s="35">
        <v>12</v>
      </c>
      <c r="G19" s="35">
        <v>12</v>
      </c>
      <c r="H19" s="35">
        <v>12</v>
      </c>
      <c r="I19" s="35">
        <v>12</v>
      </c>
      <c r="P19" s="34"/>
      <c r="Q19" s="34"/>
      <c r="R19" s="34"/>
      <c r="S19" s="34"/>
      <c r="T19" s="34"/>
      <c r="U19" s="34"/>
      <c r="V19" s="34"/>
      <c r="W19" s="34"/>
      <c r="X19" s="34"/>
      <c r="Y19" s="34"/>
      <c r="Z19" s="34"/>
    </row>
    <row r="20" spans="1:26" s="54" customFormat="1" ht="12" customHeight="1" x14ac:dyDescent="0.3">
      <c r="A20" s="33"/>
      <c r="B20" s="41" t="s">
        <v>110</v>
      </c>
      <c r="C20" s="35">
        <v>3200</v>
      </c>
      <c r="D20" s="36">
        <f>Допущения!D35</f>
        <v>379.41064879220949</v>
      </c>
      <c r="E20" s="35">
        <v>3200</v>
      </c>
      <c r="F20" s="35">
        <v>3000</v>
      </c>
      <c r="G20" s="35">
        <v>2800</v>
      </c>
      <c r="H20" s="35">
        <v>2500</v>
      </c>
      <c r="I20" s="35">
        <v>2300</v>
      </c>
      <c r="K20" s="53"/>
    </row>
    <row r="21" spans="1:26" s="54" customFormat="1" ht="12" customHeight="1" x14ac:dyDescent="0.3">
      <c r="A21" s="33"/>
      <c r="B21" s="41" t="s">
        <v>111</v>
      </c>
      <c r="C21" s="35">
        <v>12000</v>
      </c>
      <c r="D21" s="36">
        <f>Допущения!D36</f>
        <v>126.47021626406982</v>
      </c>
      <c r="E21" s="35">
        <v>12000</v>
      </c>
      <c r="F21" s="35">
        <v>12000</v>
      </c>
      <c r="G21" s="35">
        <v>8000</v>
      </c>
      <c r="H21" s="35">
        <v>8000</v>
      </c>
      <c r="I21" s="35">
        <v>6000</v>
      </c>
    </row>
    <row r="22" spans="1:26" s="54" customFormat="1" ht="12" customHeight="1" x14ac:dyDescent="0.3">
      <c r="A22" s="33"/>
      <c r="B22" s="41" t="s">
        <v>88</v>
      </c>
      <c r="C22" s="35">
        <v>1</v>
      </c>
      <c r="D22" s="36">
        <f>Допущения!D37</f>
        <v>252.94043252813964</v>
      </c>
      <c r="E22" s="35">
        <v>1</v>
      </c>
      <c r="F22" s="35">
        <v>1</v>
      </c>
      <c r="G22" s="35">
        <v>1</v>
      </c>
      <c r="H22" s="35">
        <v>1</v>
      </c>
      <c r="I22" s="35">
        <v>1</v>
      </c>
    </row>
    <row r="23" spans="1:26" s="54" customFormat="1" ht="11.4" customHeight="1" x14ac:dyDescent="0.3">
      <c r="A23" s="33"/>
      <c r="B23" s="33"/>
      <c r="C23" s="33"/>
      <c r="D23" s="33"/>
      <c r="E23" s="33"/>
      <c r="F23" s="33"/>
      <c r="G23" s="33"/>
      <c r="H23" s="33"/>
      <c r="I23" s="33"/>
    </row>
    <row r="24" spans="1:26" s="54" customFormat="1" ht="12" customHeight="1" x14ac:dyDescent="0.3">
      <c r="A24" s="33"/>
      <c r="B24" s="31" t="s">
        <v>114</v>
      </c>
      <c r="C24" s="33"/>
      <c r="D24" s="33"/>
      <c r="E24" s="32">
        <f>C18*D18+C19*D19+C20*D20+C21*D21+C22*D22</f>
        <v>2926723.156696598</v>
      </c>
      <c r="F24" s="32">
        <f>F18*D18+F19*D19+F20*D20+F21*D21+F22*D22</f>
        <v>2838194.0053117489</v>
      </c>
      <c r="G24" s="32">
        <f>G18*D18+G19*D19+G20*D20+G21*D21+G22*D22</f>
        <v>2256431.010497028</v>
      </c>
      <c r="H24" s="32">
        <f>H18*D18+H19*D19+H20*D20+H21*D21+H22*D22</f>
        <v>2129960.7942329585</v>
      </c>
      <c r="I24" s="32">
        <f>I18*D18+I19*D19+I20*D20+I21*D21+I22*D22</f>
        <v>1801138.2319463766</v>
      </c>
    </row>
    <row r="25" spans="1:26" s="54" customFormat="1" ht="11.4" customHeight="1" x14ac:dyDescent="0.3">
      <c r="A25" s="33"/>
      <c r="B25" s="33"/>
      <c r="C25" s="33"/>
      <c r="D25" s="33"/>
      <c r="E25" s="33"/>
      <c r="F25" s="33"/>
      <c r="G25" s="33"/>
      <c r="H25" s="33"/>
      <c r="I25" s="33"/>
    </row>
    <row r="26" spans="1:26" s="54" customFormat="1" ht="11.4" customHeight="1" x14ac:dyDescent="0.3">
      <c r="A26" s="33"/>
      <c r="B26" s="33"/>
      <c r="C26" s="33"/>
      <c r="D26" s="33"/>
      <c r="E26" s="33"/>
      <c r="F26" s="33"/>
      <c r="G26" s="33"/>
      <c r="H26" s="33"/>
      <c r="I26" s="33"/>
    </row>
    <row r="27" spans="1:26" s="54" customFormat="1" ht="12" customHeight="1" x14ac:dyDescent="0.3">
      <c r="A27" s="33"/>
      <c r="B27" s="10" t="s">
        <v>115</v>
      </c>
      <c r="C27" s="33"/>
      <c r="D27" s="33"/>
      <c r="E27" s="33"/>
      <c r="F27" s="33"/>
      <c r="G27" s="33"/>
      <c r="H27" s="33"/>
      <c r="I27" s="33"/>
    </row>
    <row r="28" spans="1:26" s="54" customFormat="1" ht="11.4" customHeight="1" x14ac:dyDescent="0.3">
      <c r="A28" s="33"/>
      <c r="B28" s="33"/>
      <c r="C28" s="33"/>
      <c r="D28" s="33"/>
      <c r="E28" s="33"/>
      <c r="F28" s="33"/>
      <c r="G28" s="33"/>
      <c r="H28" s="33"/>
      <c r="I28" s="33"/>
    </row>
    <row r="29" spans="1:26" s="54" customFormat="1" ht="12" customHeight="1" x14ac:dyDescent="0.3">
      <c r="A29" s="33"/>
      <c r="B29" s="37" t="s">
        <v>106</v>
      </c>
      <c r="C29" s="37" t="s">
        <v>107</v>
      </c>
      <c r="D29" s="37" t="s">
        <v>108</v>
      </c>
      <c r="E29" s="37" t="s">
        <v>95</v>
      </c>
      <c r="F29" s="37" t="s">
        <v>96</v>
      </c>
      <c r="G29" s="37" t="s">
        <v>97</v>
      </c>
      <c r="H29" s="37" t="s">
        <v>98</v>
      </c>
      <c r="I29" s="37" t="s">
        <v>99</v>
      </c>
    </row>
    <row r="30" spans="1:26" s="54" customFormat="1" ht="12" customHeight="1" x14ac:dyDescent="0.3">
      <c r="A30" s="33"/>
      <c r="B30" s="41" t="s">
        <v>109</v>
      </c>
      <c r="C30" s="35">
        <v>300</v>
      </c>
      <c r="D30" s="36">
        <f>Допущения!D33</f>
        <v>632.35108132034907</v>
      </c>
      <c r="E30" s="35">
        <v>300</v>
      </c>
      <c r="F30" s="35">
        <v>280</v>
      </c>
      <c r="G30" s="35">
        <v>280</v>
      </c>
      <c r="H30" s="35">
        <v>260</v>
      </c>
      <c r="I30" s="35">
        <v>260</v>
      </c>
    </row>
    <row r="31" spans="1:26" s="54" customFormat="1" ht="12" customHeight="1" x14ac:dyDescent="0.3">
      <c r="A31" s="33"/>
      <c r="B31" s="41" t="s">
        <v>82</v>
      </c>
      <c r="C31" s="35">
        <v>12</v>
      </c>
      <c r="D31" s="36">
        <f>Допущения!D34</f>
        <v>417.35171367143039</v>
      </c>
      <c r="E31" s="35">
        <v>12</v>
      </c>
      <c r="F31" s="35">
        <v>12</v>
      </c>
      <c r="G31" s="35">
        <v>12</v>
      </c>
      <c r="H31" s="35">
        <v>12</v>
      </c>
      <c r="I31" s="35">
        <v>12</v>
      </c>
    </row>
    <row r="32" spans="1:26" s="54" customFormat="1" ht="12" customHeight="1" x14ac:dyDescent="0.3">
      <c r="A32" s="33"/>
      <c r="B32" s="41" t="s">
        <v>110</v>
      </c>
      <c r="C32" s="35">
        <v>3200</v>
      </c>
      <c r="D32" s="36">
        <f>Допущения!D35</f>
        <v>379.41064879220949</v>
      </c>
      <c r="E32" s="35">
        <v>3000</v>
      </c>
      <c r="F32" s="35">
        <v>3000</v>
      </c>
      <c r="G32" s="35">
        <v>2800</v>
      </c>
      <c r="H32" s="35">
        <v>2500</v>
      </c>
      <c r="I32" s="35">
        <v>2300</v>
      </c>
    </row>
    <row r="33" spans="1:9" s="54" customFormat="1" ht="12" customHeight="1" x14ac:dyDescent="0.3">
      <c r="A33" s="33"/>
      <c r="B33" s="41" t="s">
        <v>111</v>
      </c>
      <c r="C33" s="35">
        <v>12000</v>
      </c>
      <c r="D33" s="36">
        <f>Допущения!D36</f>
        <v>126.47021626406982</v>
      </c>
      <c r="E33" s="35">
        <v>12000</v>
      </c>
      <c r="F33" s="35">
        <v>12000</v>
      </c>
      <c r="G33" s="35">
        <v>8000</v>
      </c>
      <c r="H33" s="35">
        <v>8000</v>
      </c>
      <c r="I33" s="35">
        <v>6000</v>
      </c>
    </row>
    <row r="34" spans="1:9" s="54" customFormat="1" ht="12" customHeight="1" x14ac:dyDescent="0.3">
      <c r="A34" s="33"/>
      <c r="B34" s="41" t="s">
        <v>88</v>
      </c>
      <c r="C34" s="35">
        <v>1</v>
      </c>
      <c r="D34" s="36">
        <f>Допущения!D37</f>
        <v>252.94043252813964</v>
      </c>
      <c r="E34" s="35">
        <v>1</v>
      </c>
      <c r="F34" s="35">
        <v>1</v>
      </c>
      <c r="G34" s="35">
        <v>1</v>
      </c>
      <c r="H34" s="35">
        <v>1</v>
      </c>
      <c r="I34" s="35">
        <v>1</v>
      </c>
    </row>
    <row r="35" spans="1:9" s="54" customFormat="1" ht="11.4" customHeight="1" x14ac:dyDescent="0.3">
      <c r="A35" s="33"/>
      <c r="B35" s="33"/>
      <c r="C35" s="33"/>
      <c r="D35" s="33"/>
      <c r="E35" s="33"/>
      <c r="F35" s="33"/>
      <c r="G35" s="33"/>
      <c r="H35" s="33"/>
      <c r="I35" s="33"/>
    </row>
    <row r="36" spans="1:9" s="54" customFormat="1" ht="12" customHeight="1" x14ac:dyDescent="0.3">
      <c r="A36" s="33"/>
      <c r="B36" s="31" t="s">
        <v>116</v>
      </c>
      <c r="C36" s="33"/>
      <c r="D36" s="33"/>
      <c r="E36" s="32">
        <f>C30*D30+C31*D31+C32*D32+C33*D33+C34*D34</f>
        <v>2926723.156696598</v>
      </c>
      <c r="F36" s="32">
        <f>F30*D30+F31*D31+F32*D32+F33*D33+F34*D34</f>
        <v>2838194.0053117489</v>
      </c>
      <c r="G36" s="32">
        <f>G30*D30+G31*D31+G32*D32+G33*D33+G34*D34</f>
        <v>2256431.010497028</v>
      </c>
      <c r="H36" s="32">
        <f>H30*D30+H31*D31+H32*D32+H33*D33+H34*D34</f>
        <v>2129960.7942329585</v>
      </c>
      <c r="I36" s="32">
        <f>I30*D30+I31*D31+I32*D32+I33*D33+I34*D34</f>
        <v>1801138.2319463766</v>
      </c>
    </row>
    <row r="37" spans="1:9" s="54" customFormat="1" ht="11.4" customHeight="1" x14ac:dyDescent="0.3">
      <c r="A37" s="33"/>
      <c r="B37" s="33"/>
      <c r="C37" s="33"/>
      <c r="D37" s="33"/>
      <c r="E37" s="33"/>
      <c r="F37" s="33"/>
      <c r="G37" s="33"/>
      <c r="H37" s="33"/>
      <c r="I37" s="33"/>
    </row>
    <row r="38" spans="1:9" s="54" customFormat="1" ht="11.4" customHeight="1" x14ac:dyDescent="0.3">
      <c r="A38" s="33"/>
      <c r="B38" s="33"/>
      <c r="C38" s="33"/>
      <c r="D38" s="33"/>
      <c r="E38" s="33"/>
      <c r="F38" s="33"/>
      <c r="G38" s="33"/>
      <c r="H38" s="33"/>
      <c r="I38" s="33"/>
    </row>
    <row r="39" spans="1:9" s="54" customFormat="1" ht="12" customHeight="1" x14ac:dyDescent="0.3">
      <c r="A39" s="33"/>
      <c r="B39" s="10" t="s">
        <v>117</v>
      </c>
      <c r="C39" s="33"/>
      <c r="D39" s="33"/>
      <c r="E39" s="33"/>
      <c r="F39" s="33"/>
      <c r="G39" s="33"/>
      <c r="H39" s="33"/>
      <c r="I39" s="33"/>
    </row>
    <row r="40" spans="1:9" s="54" customFormat="1" ht="11.4" customHeight="1" x14ac:dyDescent="0.3">
      <c r="A40" s="33"/>
      <c r="B40" s="33"/>
      <c r="C40" s="33"/>
      <c r="D40" s="33"/>
      <c r="E40" s="33"/>
      <c r="F40" s="33"/>
      <c r="G40" s="33"/>
      <c r="H40" s="33"/>
      <c r="I40" s="33"/>
    </row>
    <row r="41" spans="1:9" s="54" customFormat="1" ht="12" customHeight="1" x14ac:dyDescent="0.3">
      <c r="A41" s="33"/>
      <c r="B41" s="37" t="s">
        <v>94</v>
      </c>
      <c r="C41" s="37" t="s">
        <v>95</v>
      </c>
      <c r="D41" s="37" t="s">
        <v>96</v>
      </c>
      <c r="E41" s="37" t="s">
        <v>97</v>
      </c>
      <c r="F41" s="37" t="s">
        <v>98</v>
      </c>
      <c r="G41" s="37" t="s">
        <v>99</v>
      </c>
      <c r="H41" s="33"/>
      <c r="I41" s="33"/>
    </row>
    <row r="42" spans="1:9" s="54" customFormat="1" ht="12" customHeight="1" x14ac:dyDescent="0.3">
      <c r="A42" s="33"/>
      <c r="B42" s="41" t="s">
        <v>50</v>
      </c>
      <c r="C42" s="29">
        <f>E12</f>
        <v>2926723.156696598</v>
      </c>
      <c r="D42" s="29">
        <f>F12</f>
        <v>2762311.8755533071</v>
      </c>
      <c r="E42" s="29">
        <f>G12</f>
        <v>2256431.010497028</v>
      </c>
      <c r="F42" s="29">
        <f>H12</f>
        <v>2129960.7942329585</v>
      </c>
      <c r="G42" s="29">
        <f>I12</f>
        <v>1801138.2319463766</v>
      </c>
      <c r="H42" s="33"/>
      <c r="I42" s="33"/>
    </row>
    <row r="43" spans="1:9" s="54" customFormat="1" ht="12" customHeight="1" x14ac:dyDescent="0.3">
      <c r="A43" s="33"/>
      <c r="B43" s="41" t="s">
        <v>51</v>
      </c>
      <c r="C43" s="29">
        <f>E24</f>
        <v>2926723.156696598</v>
      </c>
      <c r="D43" s="29">
        <f>F24</f>
        <v>2838194.0053117489</v>
      </c>
      <c r="E43" s="29">
        <f>G24</f>
        <v>2256431.010497028</v>
      </c>
      <c r="F43" s="29">
        <f>H24</f>
        <v>2129960.7942329585</v>
      </c>
      <c r="G43" s="29">
        <f>I24</f>
        <v>1801138.2319463766</v>
      </c>
      <c r="H43" s="33"/>
      <c r="I43" s="33"/>
    </row>
    <row r="44" spans="1:9" s="54" customFormat="1" ht="12" customHeight="1" x14ac:dyDescent="0.3">
      <c r="A44" s="33"/>
      <c r="B44" s="41" t="s">
        <v>52</v>
      </c>
      <c r="C44" s="29">
        <f>E36</f>
        <v>2926723.156696598</v>
      </c>
      <c r="D44" s="29">
        <f>F36</f>
        <v>2838194.0053117489</v>
      </c>
      <c r="E44" s="29">
        <f>G36</f>
        <v>2256431.010497028</v>
      </c>
      <c r="F44" s="29">
        <f>H36</f>
        <v>2129960.7942329585</v>
      </c>
      <c r="G44" s="29">
        <f>I36</f>
        <v>1801138.2319463766</v>
      </c>
      <c r="H44" s="33"/>
      <c r="I44" s="33"/>
    </row>
    <row r="45" spans="1:9" s="54" customFormat="1" ht="12" customHeight="1" x14ac:dyDescent="0.3">
      <c r="A45" s="33"/>
      <c r="B45" s="31" t="s">
        <v>118</v>
      </c>
      <c r="C45" s="32">
        <f>SUM(C42:C44)</f>
        <v>8780169.4700897932</v>
      </c>
      <c r="D45" s="32">
        <f>SUM(D42:D44)</f>
        <v>8438699.8861768059</v>
      </c>
      <c r="E45" s="32">
        <f>SUM(E42:E44)</f>
        <v>6769293.031491084</v>
      </c>
      <c r="F45" s="32">
        <f>SUM(F42:F44)</f>
        <v>6389882.3826988749</v>
      </c>
      <c r="G45" s="32">
        <f>SUM(G42:G44)</f>
        <v>5403414.6958391294</v>
      </c>
      <c r="H45" s="33"/>
      <c r="I45" s="33"/>
    </row>
    <row r="46" spans="1:9" s="54" customFormat="1" ht="11.4" customHeight="1" x14ac:dyDescent="0.3">
      <c r="A46" s="33"/>
      <c r="B46" s="33"/>
      <c r="C46" s="33"/>
      <c r="D46" s="33"/>
      <c r="E46" s="33"/>
      <c r="F46" s="33"/>
      <c r="G46" s="33"/>
      <c r="H46" s="33"/>
      <c r="I46" s="33"/>
    </row>
    <row r="47" spans="1:9" s="54" customFormat="1" ht="11.4" customHeight="1" x14ac:dyDescent="0.3">
      <c r="A47" s="33"/>
      <c r="B47" s="33"/>
      <c r="C47" s="33"/>
      <c r="D47" s="33"/>
      <c r="E47" s="33"/>
      <c r="F47" s="33"/>
      <c r="G47" s="33"/>
      <c r="H47" s="33"/>
      <c r="I47" s="33"/>
    </row>
    <row r="48" spans="1:9" s="54" customFormat="1" ht="11.4" customHeight="1" x14ac:dyDescent="0.3">
      <c r="A48" s="33"/>
      <c r="B48" s="33"/>
      <c r="C48" s="33"/>
      <c r="D48" s="33"/>
      <c r="E48" s="33"/>
      <c r="F48" s="33"/>
      <c r="G48" s="33"/>
      <c r="H48" s="33"/>
      <c r="I48" s="33"/>
    </row>
    <row r="49" spans="1:9" s="54" customFormat="1" ht="11.4" customHeight="1" x14ac:dyDescent="0.3">
      <c r="A49" s="33"/>
      <c r="B49" s="33"/>
      <c r="C49" s="33"/>
      <c r="D49" s="33"/>
      <c r="E49" s="33"/>
      <c r="F49" s="33"/>
      <c r="G49" s="33"/>
      <c r="H49" s="33"/>
      <c r="I49" s="33"/>
    </row>
    <row r="50" spans="1:9" s="54" customFormat="1" ht="11.4" customHeight="1" x14ac:dyDescent="0.3">
      <c r="A50" s="33"/>
      <c r="B50" s="33"/>
      <c r="C50" s="33"/>
      <c r="D50" s="33"/>
      <c r="E50" s="33"/>
      <c r="F50" s="33"/>
      <c r="G50" s="33"/>
      <c r="H50" s="33"/>
      <c r="I50" s="33"/>
    </row>
    <row r="51" spans="1:9" s="54" customFormat="1" ht="11.4" customHeight="1" x14ac:dyDescent="0.3">
      <c r="A51" s="33"/>
      <c r="B51" s="33"/>
      <c r="C51" s="33"/>
      <c r="D51" s="33"/>
      <c r="E51" s="33"/>
      <c r="F51" s="33"/>
      <c r="G51" s="33"/>
      <c r="H51" s="33"/>
      <c r="I51" s="33"/>
    </row>
    <row r="52" spans="1:9" s="54" customFormat="1" ht="11.4" customHeight="1" x14ac:dyDescent="0.3">
      <c r="A52" s="33"/>
      <c r="B52" s="33"/>
      <c r="C52" s="33"/>
      <c r="D52" s="33"/>
      <c r="E52" s="33"/>
      <c r="F52" s="33"/>
      <c r="G52" s="33"/>
      <c r="H52" s="33"/>
      <c r="I52" s="33"/>
    </row>
    <row r="53" spans="1:9" s="54" customFormat="1" ht="11.4" customHeight="1" x14ac:dyDescent="0.3">
      <c r="A53" s="33"/>
      <c r="B53" s="33"/>
      <c r="C53" s="33"/>
      <c r="D53" s="33"/>
      <c r="E53" s="33"/>
      <c r="F53" s="33"/>
      <c r="G53" s="33"/>
      <c r="H53" s="33"/>
      <c r="I53" s="33"/>
    </row>
    <row r="54" spans="1:9" s="54" customFormat="1" ht="11.4" customHeight="1" x14ac:dyDescent="0.3">
      <c r="A54" s="33"/>
      <c r="B54" s="33"/>
      <c r="C54" s="33"/>
      <c r="D54" s="33"/>
      <c r="E54" s="33"/>
      <c r="F54" s="33"/>
      <c r="G54" s="33"/>
      <c r="H54" s="33"/>
      <c r="I54" s="33"/>
    </row>
    <row r="55" spans="1:9" s="54" customFormat="1" ht="11.4" customHeight="1" x14ac:dyDescent="0.3">
      <c r="A55" s="33"/>
      <c r="B55" s="33"/>
      <c r="C55" s="33"/>
      <c r="D55" s="33"/>
      <c r="E55" s="33"/>
      <c r="F55" s="33"/>
      <c r="G55" s="33"/>
      <c r="H55" s="33"/>
      <c r="I55" s="33"/>
    </row>
    <row r="56" spans="1:9" s="54" customFormat="1" ht="11.4" customHeight="1" x14ac:dyDescent="0.3">
      <c r="A56" s="33"/>
      <c r="B56" s="33"/>
      <c r="C56" s="33"/>
      <c r="D56" s="33"/>
      <c r="E56" s="33"/>
      <c r="F56" s="33"/>
      <c r="G56" s="33"/>
      <c r="H56" s="33"/>
      <c r="I56" s="33"/>
    </row>
    <row r="57" spans="1:9" s="54" customFormat="1" ht="11.4" customHeight="1" x14ac:dyDescent="0.3">
      <c r="A57" s="33"/>
      <c r="B57" s="33"/>
      <c r="C57" s="33"/>
      <c r="D57" s="33"/>
      <c r="E57" s="33"/>
      <c r="F57" s="33"/>
      <c r="G57" s="33"/>
      <c r="H57" s="33"/>
      <c r="I57" s="33"/>
    </row>
    <row r="58" spans="1:9" s="54" customFormat="1" ht="11.4" customHeight="1" x14ac:dyDescent="0.3">
      <c r="A58" s="33"/>
      <c r="B58" s="33"/>
      <c r="C58" s="33"/>
      <c r="D58" s="33"/>
      <c r="E58" s="33"/>
      <c r="F58" s="33"/>
      <c r="G58" s="33"/>
      <c r="H58" s="33"/>
      <c r="I58" s="33"/>
    </row>
    <row r="59" spans="1:9" s="54" customFormat="1" ht="11.4" customHeight="1" x14ac:dyDescent="0.3">
      <c r="A59" s="33"/>
      <c r="B59" s="33"/>
      <c r="C59" s="33"/>
      <c r="D59" s="33"/>
      <c r="E59" s="33"/>
      <c r="F59" s="33"/>
      <c r="G59" s="33"/>
      <c r="H59" s="33"/>
      <c r="I59" s="33"/>
    </row>
    <row r="60" spans="1:9" s="54" customFormat="1" ht="11.4" customHeight="1" x14ac:dyDescent="0.3">
      <c r="A60" s="33"/>
      <c r="B60" s="33"/>
      <c r="C60" s="33"/>
      <c r="D60" s="33"/>
      <c r="E60" s="33"/>
      <c r="F60" s="33"/>
      <c r="G60" s="33"/>
      <c r="H60" s="33"/>
      <c r="I60" s="33"/>
    </row>
    <row r="61" spans="1:9" s="54" customFormat="1" ht="11.4" customHeight="1" x14ac:dyDescent="0.3">
      <c r="A61" s="33"/>
      <c r="B61" s="33"/>
      <c r="C61" s="33"/>
      <c r="D61" s="33"/>
      <c r="E61" s="33"/>
      <c r="F61" s="33"/>
      <c r="G61" s="33"/>
      <c r="H61" s="33"/>
      <c r="I61" s="33"/>
    </row>
    <row r="62" spans="1:9" s="54" customFormat="1" ht="11.4" customHeight="1" x14ac:dyDescent="0.3">
      <c r="A62" s="33"/>
      <c r="B62" s="33"/>
      <c r="C62" s="33"/>
      <c r="D62" s="33"/>
      <c r="E62" s="33"/>
      <c r="F62" s="33"/>
      <c r="G62" s="33"/>
      <c r="H62" s="33"/>
      <c r="I62" s="33"/>
    </row>
    <row r="63" spans="1:9" s="54" customFormat="1" ht="11.4" customHeight="1" x14ac:dyDescent="0.3">
      <c r="A63" s="33"/>
      <c r="B63" s="33"/>
      <c r="C63" s="33"/>
      <c r="D63" s="33"/>
      <c r="E63" s="33"/>
      <c r="F63" s="33"/>
      <c r="G63" s="33"/>
      <c r="H63" s="33"/>
      <c r="I63" s="33"/>
    </row>
    <row r="64" spans="1:9" s="54" customFormat="1" ht="11.4" customHeight="1" x14ac:dyDescent="0.3">
      <c r="A64" s="33"/>
      <c r="B64" s="33"/>
      <c r="C64" s="33"/>
      <c r="D64" s="33"/>
      <c r="E64" s="33"/>
      <c r="F64" s="33"/>
      <c r="G64" s="33"/>
      <c r="H64" s="33"/>
      <c r="I64" s="33"/>
    </row>
    <row r="65" spans="1:9" s="54" customFormat="1" ht="11.4" customHeight="1" x14ac:dyDescent="0.3">
      <c r="A65" s="33"/>
      <c r="B65" s="33"/>
      <c r="C65" s="33"/>
      <c r="D65" s="33"/>
      <c r="E65" s="33"/>
      <c r="F65" s="33"/>
      <c r="G65" s="33"/>
      <c r="H65" s="33"/>
      <c r="I65" s="33"/>
    </row>
    <row r="66" spans="1:9" s="54" customFormat="1" ht="11.4" customHeight="1" x14ac:dyDescent="0.3">
      <c r="A66" s="33"/>
      <c r="B66" s="33"/>
      <c r="C66" s="33"/>
      <c r="D66" s="33"/>
      <c r="E66" s="33"/>
      <c r="F66" s="33"/>
      <c r="G66" s="33"/>
      <c r="H66" s="33"/>
      <c r="I66" s="33"/>
    </row>
    <row r="67" spans="1:9" s="54" customFormat="1" ht="11.4" customHeight="1" x14ac:dyDescent="0.3">
      <c r="A67" s="33"/>
      <c r="B67" s="33"/>
      <c r="C67" s="33"/>
      <c r="D67" s="33"/>
      <c r="E67" s="33"/>
      <c r="F67" s="33"/>
      <c r="G67" s="33"/>
      <c r="H67" s="33"/>
      <c r="I67" s="33"/>
    </row>
    <row r="68" spans="1:9" s="54" customFormat="1" ht="11.4" customHeight="1" x14ac:dyDescent="0.3">
      <c r="A68" s="33"/>
      <c r="B68" s="33"/>
      <c r="C68" s="33"/>
      <c r="D68" s="33"/>
      <c r="E68" s="33"/>
      <c r="F68" s="33"/>
      <c r="G68" s="33"/>
      <c r="H68" s="33"/>
      <c r="I68" s="33"/>
    </row>
    <row r="69" spans="1:9" s="54" customFormat="1" ht="11.4" customHeight="1" x14ac:dyDescent="0.3">
      <c r="A69" s="33"/>
      <c r="B69" s="33"/>
      <c r="C69" s="33"/>
      <c r="D69" s="33"/>
      <c r="E69" s="33"/>
      <c r="F69" s="33"/>
      <c r="G69" s="33"/>
      <c r="H69" s="33"/>
      <c r="I69" s="33"/>
    </row>
    <row r="70" spans="1:9" s="54" customFormat="1" ht="11.4" customHeight="1" x14ac:dyDescent="0.3">
      <c r="A70" s="33"/>
      <c r="B70" s="33"/>
      <c r="C70" s="33"/>
      <c r="D70" s="33"/>
      <c r="E70" s="33"/>
      <c r="F70" s="33"/>
      <c r="G70" s="33"/>
      <c r="H70" s="33"/>
      <c r="I70" s="33"/>
    </row>
    <row r="71" spans="1:9" s="54" customFormat="1" ht="11.4" customHeight="1" x14ac:dyDescent="0.3">
      <c r="A71" s="33"/>
      <c r="B71" s="33"/>
      <c r="C71" s="33"/>
      <c r="D71" s="33"/>
      <c r="E71" s="33"/>
      <c r="F71" s="33"/>
      <c r="G71" s="33"/>
      <c r="H71" s="33"/>
      <c r="I71" s="33"/>
    </row>
    <row r="72" spans="1:9" s="54" customFormat="1" ht="11.4" customHeight="1" x14ac:dyDescent="0.3">
      <c r="A72" s="33"/>
      <c r="B72" s="33"/>
      <c r="C72" s="33"/>
      <c r="D72" s="33"/>
      <c r="E72" s="33"/>
      <c r="F72" s="33"/>
      <c r="G72" s="33"/>
      <c r="H72" s="33"/>
      <c r="I72" s="33"/>
    </row>
    <row r="73" spans="1:9" s="54" customFormat="1" ht="11.4" customHeight="1" x14ac:dyDescent="0.3">
      <c r="A73" s="33"/>
      <c r="B73" s="33"/>
      <c r="C73" s="33"/>
      <c r="D73" s="33"/>
      <c r="E73" s="33"/>
      <c r="F73" s="33"/>
      <c r="G73" s="33"/>
      <c r="H73" s="33"/>
      <c r="I73" s="33"/>
    </row>
    <row r="74" spans="1:9" s="54" customFormat="1" ht="11.4" customHeight="1" x14ac:dyDescent="0.3">
      <c r="A74" s="33"/>
      <c r="B74" s="33"/>
      <c r="C74" s="33"/>
      <c r="D74" s="33"/>
      <c r="E74" s="33"/>
      <c r="F74" s="33"/>
      <c r="G74" s="33"/>
      <c r="H74" s="33"/>
      <c r="I74" s="33"/>
    </row>
    <row r="75" spans="1:9" s="54" customFormat="1" ht="11.4" customHeight="1" x14ac:dyDescent="0.3">
      <c r="A75" s="33"/>
      <c r="B75" s="33"/>
      <c r="C75" s="33"/>
      <c r="D75" s="33"/>
      <c r="E75" s="33"/>
      <c r="F75" s="33"/>
      <c r="G75" s="33"/>
      <c r="H75" s="33"/>
      <c r="I75" s="33"/>
    </row>
    <row r="76" spans="1:9" s="54" customFormat="1" ht="11.4" customHeight="1" x14ac:dyDescent="0.3">
      <c r="A76" s="33"/>
      <c r="B76" s="33"/>
      <c r="C76" s="33"/>
      <c r="D76" s="33"/>
      <c r="E76" s="33"/>
      <c r="F76" s="33"/>
      <c r="G76" s="33"/>
      <c r="H76" s="33"/>
      <c r="I76" s="33"/>
    </row>
    <row r="77" spans="1:9" s="54" customFormat="1" ht="11.4" customHeight="1" x14ac:dyDescent="0.3">
      <c r="A77" s="33"/>
      <c r="B77" s="33"/>
      <c r="C77" s="33"/>
      <c r="D77" s="33"/>
      <c r="E77" s="33"/>
      <c r="F77" s="33"/>
      <c r="G77" s="33"/>
      <c r="H77" s="33"/>
      <c r="I77" s="33"/>
    </row>
    <row r="78" spans="1:9" s="54" customFormat="1" ht="11.4" customHeight="1" x14ac:dyDescent="0.3">
      <c r="A78" s="33"/>
      <c r="B78" s="33"/>
      <c r="C78" s="33"/>
      <c r="D78" s="33"/>
      <c r="E78" s="33"/>
      <c r="F78" s="33"/>
      <c r="G78" s="33"/>
      <c r="H78" s="33"/>
      <c r="I78" s="33"/>
    </row>
    <row r="79" spans="1:9" s="54" customFormat="1" ht="11.4" customHeight="1" x14ac:dyDescent="0.3">
      <c r="A79" s="33"/>
      <c r="B79" s="33"/>
      <c r="C79" s="33"/>
      <c r="D79" s="33"/>
      <c r="E79" s="33"/>
      <c r="F79" s="33"/>
      <c r="G79" s="33"/>
      <c r="H79" s="33"/>
      <c r="I79" s="33"/>
    </row>
    <row r="80" spans="1:9" s="54" customFormat="1" ht="11.4" customHeight="1" x14ac:dyDescent="0.3">
      <c r="A80" s="33"/>
      <c r="B80" s="33"/>
      <c r="C80" s="33"/>
      <c r="D80" s="33"/>
      <c r="E80" s="33"/>
      <c r="F80" s="33"/>
      <c r="G80" s="33"/>
      <c r="H80" s="33"/>
      <c r="I80" s="33"/>
    </row>
    <row r="81" spans="1:9" s="54" customFormat="1" ht="11.4" customHeight="1" x14ac:dyDescent="0.3">
      <c r="A81" s="33"/>
      <c r="B81" s="33"/>
      <c r="C81" s="33"/>
      <c r="D81" s="33"/>
      <c r="E81" s="33"/>
      <c r="F81" s="33"/>
      <c r="G81" s="33"/>
      <c r="H81" s="33"/>
      <c r="I81" s="33"/>
    </row>
    <row r="82" spans="1:9" s="54" customFormat="1" ht="11.4" customHeight="1" x14ac:dyDescent="0.3">
      <c r="A82" s="33"/>
      <c r="B82" s="33"/>
      <c r="C82" s="33"/>
      <c r="D82" s="33"/>
      <c r="E82" s="33"/>
      <c r="F82" s="33"/>
      <c r="G82" s="33"/>
      <c r="H82" s="33"/>
      <c r="I82" s="33"/>
    </row>
    <row r="83" spans="1:9" s="54" customFormat="1" ht="11.4" customHeight="1" x14ac:dyDescent="0.3">
      <c r="A83" s="33"/>
      <c r="B83" s="33"/>
      <c r="C83" s="33"/>
      <c r="D83" s="33"/>
      <c r="E83" s="33"/>
      <c r="F83" s="33"/>
      <c r="G83" s="33"/>
      <c r="H83" s="33"/>
      <c r="I83" s="33"/>
    </row>
    <row r="84" spans="1:9" s="54" customFormat="1" ht="11.4" customHeight="1" x14ac:dyDescent="0.3">
      <c r="A84" s="33"/>
      <c r="B84" s="33"/>
      <c r="C84" s="33"/>
      <c r="D84" s="33"/>
      <c r="E84" s="33"/>
      <c r="F84" s="33"/>
      <c r="G84" s="33"/>
      <c r="H84" s="33"/>
      <c r="I84" s="33"/>
    </row>
    <row r="85" spans="1:9" s="54" customFormat="1" ht="11.4" customHeight="1" x14ac:dyDescent="0.3">
      <c r="A85" s="33"/>
      <c r="B85" s="33"/>
      <c r="C85" s="33"/>
      <c r="D85" s="33"/>
      <c r="E85" s="33"/>
      <c r="F85" s="33"/>
      <c r="G85" s="33"/>
      <c r="H85" s="33"/>
      <c r="I85" s="33"/>
    </row>
    <row r="86" spans="1:9" s="54" customFormat="1" ht="11.4" customHeight="1" x14ac:dyDescent="0.3">
      <c r="A86" s="33"/>
      <c r="B86" s="33"/>
      <c r="C86" s="33"/>
      <c r="D86" s="33"/>
      <c r="E86" s="33"/>
      <c r="F86" s="33"/>
      <c r="G86" s="33"/>
      <c r="H86" s="33"/>
      <c r="I86" s="33"/>
    </row>
    <row r="87" spans="1:9" s="54" customFormat="1" ht="11.4" customHeight="1" x14ac:dyDescent="0.3">
      <c r="A87" s="33"/>
      <c r="B87" s="33"/>
      <c r="C87" s="33"/>
      <c r="D87" s="33"/>
      <c r="E87" s="33"/>
      <c r="F87" s="33"/>
      <c r="G87" s="33"/>
      <c r="H87" s="33"/>
      <c r="I87" s="33"/>
    </row>
    <row r="88" spans="1:9" s="54" customFormat="1" ht="11.4" customHeight="1" x14ac:dyDescent="0.3">
      <c r="A88" s="33"/>
      <c r="B88" s="33"/>
      <c r="C88" s="33"/>
      <c r="D88" s="33"/>
      <c r="E88" s="33"/>
      <c r="F88" s="33"/>
      <c r="G88" s="33"/>
      <c r="H88" s="33"/>
      <c r="I88" s="33"/>
    </row>
    <row r="89" spans="1:9" s="54" customFormat="1" ht="11.4" customHeight="1" x14ac:dyDescent="0.3">
      <c r="A89" s="33"/>
      <c r="B89" s="33"/>
      <c r="C89" s="33"/>
      <c r="D89" s="33"/>
      <c r="E89" s="33"/>
      <c r="F89" s="33"/>
      <c r="G89" s="33"/>
      <c r="H89" s="33"/>
      <c r="I89" s="33"/>
    </row>
    <row r="90" spans="1:9" s="54" customFormat="1" ht="11.4" customHeight="1" x14ac:dyDescent="0.3">
      <c r="A90" s="33"/>
      <c r="B90" s="33"/>
      <c r="C90" s="33"/>
      <c r="D90" s="33"/>
      <c r="E90" s="33"/>
      <c r="F90" s="33"/>
      <c r="G90" s="33"/>
      <c r="H90" s="33"/>
      <c r="I90" s="33"/>
    </row>
    <row r="91" spans="1:9" s="54" customFormat="1" ht="11.4" customHeight="1" x14ac:dyDescent="0.3">
      <c r="A91" s="33"/>
      <c r="B91" s="33"/>
      <c r="C91" s="33"/>
      <c r="D91" s="33"/>
      <c r="E91" s="33"/>
      <c r="F91" s="33"/>
      <c r="G91" s="33"/>
      <c r="H91" s="33"/>
      <c r="I91" s="33"/>
    </row>
    <row r="92" spans="1:9" s="54" customFormat="1" ht="11.4" customHeight="1" x14ac:dyDescent="0.3">
      <c r="A92" s="33"/>
      <c r="B92" s="33"/>
      <c r="C92" s="33"/>
      <c r="D92" s="33"/>
      <c r="E92" s="33"/>
      <c r="F92" s="33"/>
      <c r="G92" s="33"/>
      <c r="H92" s="33"/>
      <c r="I92" s="33"/>
    </row>
    <row r="93" spans="1:9" s="54" customFormat="1" ht="11.4" customHeight="1" x14ac:dyDescent="0.3">
      <c r="A93" s="33"/>
      <c r="B93" s="33"/>
      <c r="C93" s="33"/>
      <c r="D93" s="33"/>
      <c r="E93" s="33"/>
      <c r="F93" s="33"/>
      <c r="G93" s="33"/>
      <c r="H93" s="33"/>
      <c r="I93" s="33"/>
    </row>
    <row r="94" spans="1:9" s="54" customFormat="1" ht="11.4" customHeight="1" x14ac:dyDescent="0.3">
      <c r="A94" s="33"/>
      <c r="B94" s="33"/>
      <c r="C94" s="33"/>
      <c r="D94" s="33"/>
      <c r="E94" s="33"/>
      <c r="F94" s="33"/>
      <c r="G94" s="33"/>
      <c r="H94" s="33"/>
      <c r="I94" s="33"/>
    </row>
    <row r="95" spans="1:9" s="54" customFormat="1" ht="11.4" customHeight="1" x14ac:dyDescent="0.3">
      <c r="A95" s="33"/>
      <c r="B95" s="33"/>
      <c r="C95" s="33"/>
      <c r="D95" s="33"/>
      <c r="E95" s="33"/>
      <c r="F95" s="33"/>
      <c r="G95" s="33"/>
      <c r="H95" s="33"/>
      <c r="I95" s="33"/>
    </row>
    <row r="96" spans="1:9" s="54" customFormat="1" ht="11.4" customHeight="1" x14ac:dyDescent="0.3">
      <c r="A96" s="33"/>
      <c r="B96" s="33"/>
      <c r="C96" s="33"/>
      <c r="D96" s="33"/>
      <c r="E96" s="33"/>
      <c r="F96" s="33"/>
      <c r="G96" s="33"/>
      <c r="H96" s="33"/>
      <c r="I96" s="33"/>
    </row>
    <row r="97" spans="1:9" s="54" customFormat="1" ht="11.4" customHeight="1" x14ac:dyDescent="0.3">
      <c r="A97" s="33"/>
      <c r="B97" s="33"/>
      <c r="C97" s="33"/>
      <c r="D97" s="33"/>
      <c r="E97" s="33"/>
      <c r="F97" s="33"/>
      <c r="G97" s="33"/>
      <c r="H97" s="33"/>
      <c r="I97" s="33"/>
    </row>
    <row r="98" spans="1:9" s="54" customFormat="1" ht="11.4" customHeight="1" x14ac:dyDescent="0.3">
      <c r="A98" s="33"/>
      <c r="B98" s="33"/>
      <c r="C98" s="33"/>
      <c r="D98" s="33"/>
      <c r="E98" s="33"/>
      <c r="F98" s="33"/>
      <c r="G98" s="33"/>
      <c r="H98" s="33"/>
      <c r="I98" s="33"/>
    </row>
    <row r="99" spans="1:9" s="54" customFormat="1" ht="11.4" customHeight="1" x14ac:dyDescent="0.3">
      <c r="A99" s="33"/>
      <c r="B99" s="33"/>
      <c r="C99" s="33"/>
      <c r="D99" s="33"/>
      <c r="E99" s="33"/>
      <c r="F99" s="33"/>
      <c r="G99" s="33"/>
      <c r="H99" s="33"/>
      <c r="I99" s="33"/>
    </row>
    <row r="100" spans="1:9" s="54" customFormat="1" ht="11.4" customHeight="1" x14ac:dyDescent="0.3">
      <c r="A100" s="33"/>
      <c r="B100" s="33"/>
      <c r="C100" s="33"/>
      <c r="D100" s="33"/>
      <c r="E100" s="33"/>
      <c r="F100" s="33"/>
      <c r="G100" s="33"/>
      <c r="H100" s="33"/>
      <c r="I100" s="33"/>
    </row>
    <row r="101" spans="1:9" s="54" customFormat="1" ht="11.4" customHeight="1" x14ac:dyDescent="0.3">
      <c r="A101" s="33"/>
      <c r="B101" s="33"/>
      <c r="C101" s="33"/>
      <c r="D101" s="33"/>
      <c r="E101" s="33"/>
      <c r="F101" s="33"/>
      <c r="G101" s="33"/>
      <c r="H101" s="33"/>
      <c r="I101" s="33"/>
    </row>
    <row r="102" spans="1:9" s="54" customFormat="1" ht="11.4" customHeight="1" x14ac:dyDescent="0.3">
      <c r="A102" s="33"/>
      <c r="B102" s="33"/>
      <c r="C102" s="33"/>
      <c r="D102" s="33"/>
      <c r="E102" s="33"/>
      <c r="F102" s="33"/>
      <c r="G102" s="33"/>
      <c r="H102" s="33"/>
      <c r="I102" s="33"/>
    </row>
    <row r="103" spans="1:9" s="54" customFormat="1" ht="11.4" customHeight="1" x14ac:dyDescent="0.3">
      <c r="A103" s="33"/>
      <c r="B103" s="33"/>
      <c r="C103" s="33"/>
      <c r="D103" s="33"/>
      <c r="E103" s="33"/>
      <c r="F103" s="33"/>
      <c r="G103" s="33"/>
      <c r="H103" s="33"/>
      <c r="I103" s="33"/>
    </row>
    <row r="104" spans="1:9" s="54" customFormat="1" ht="11.4" customHeight="1" x14ac:dyDescent="0.3">
      <c r="A104" s="33"/>
      <c r="B104" s="33"/>
      <c r="C104" s="33"/>
      <c r="D104" s="33"/>
      <c r="E104" s="33"/>
      <c r="F104" s="33"/>
      <c r="G104" s="33"/>
      <c r="H104" s="33"/>
      <c r="I104" s="33"/>
    </row>
    <row r="105" spans="1:9" s="54" customFormat="1" ht="11.4" customHeight="1" x14ac:dyDescent="0.3">
      <c r="A105" s="33"/>
      <c r="B105" s="33"/>
      <c r="C105" s="33"/>
      <c r="D105" s="33"/>
      <c r="E105" s="33"/>
      <c r="F105" s="33"/>
      <c r="G105" s="33"/>
      <c r="H105" s="33"/>
      <c r="I105" s="33"/>
    </row>
    <row r="106" spans="1:9" s="54" customFormat="1" ht="11.4" customHeight="1" x14ac:dyDescent="0.3">
      <c r="A106" s="33"/>
      <c r="B106" s="33"/>
      <c r="C106" s="33"/>
      <c r="D106" s="33"/>
      <c r="E106" s="33"/>
      <c r="F106" s="33"/>
      <c r="G106" s="33"/>
      <c r="H106" s="33"/>
      <c r="I106" s="33"/>
    </row>
    <row r="107" spans="1:9" s="54" customFormat="1" ht="11.4" customHeight="1" x14ac:dyDescent="0.3">
      <c r="A107" s="33"/>
      <c r="B107" s="33"/>
      <c r="C107" s="33"/>
      <c r="D107" s="33"/>
      <c r="E107" s="33"/>
      <c r="F107" s="33"/>
      <c r="G107" s="33"/>
      <c r="H107" s="33"/>
      <c r="I107" s="33"/>
    </row>
    <row r="108" spans="1:9" s="54" customFormat="1" ht="11.4" customHeight="1" x14ac:dyDescent="0.3">
      <c r="A108" s="33"/>
      <c r="B108" s="33"/>
      <c r="C108" s="33"/>
      <c r="D108" s="33"/>
      <c r="E108" s="33"/>
      <c r="F108" s="33"/>
      <c r="G108" s="33"/>
      <c r="H108" s="33"/>
      <c r="I108" s="33"/>
    </row>
    <row r="109" spans="1:9" s="54" customFormat="1" ht="11.4" customHeight="1" x14ac:dyDescent="0.3">
      <c r="A109" s="33"/>
      <c r="B109" s="33"/>
      <c r="C109" s="33"/>
      <c r="D109" s="33"/>
      <c r="E109" s="33"/>
      <c r="F109" s="33"/>
      <c r="G109" s="33"/>
      <c r="H109" s="33"/>
      <c r="I109" s="33"/>
    </row>
    <row r="110" spans="1:9" s="54" customFormat="1" ht="11.4" customHeight="1" x14ac:dyDescent="0.3">
      <c r="A110" s="33"/>
      <c r="B110" s="33"/>
      <c r="C110" s="33"/>
      <c r="D110" s="33"/>
      <c r="E110" s="33"/>
      <c r="F110" s="33"/>
      <c r="G110" s="33"/>
      <c r="H110" s="33"/>
      <c r="I110" s="33"/>
    </row>
    <row r="111" spans="1:9" s="54" customFormat="1" ht="11.4" customHeight="1" x14ac:dyDescent="0.3">
      <c r="A111" s="33"/>
      <c r="B111" s="33"/>
      <c r="C111" s="33"/>
      <c r="D111" s="33"/>
      <c r="E111" s="33"/>
      <c r="F111" s="33"/>
      <c r="G111" s="33"/>
      <c r="H111" s="33"/>
      <c r="I111" s="33"/>
    </row>
    <row r="112" spans="1:9" s="54" customFormat="1" ht="11.4" customHeight="1" x14ac:dyDescent="0.3">
      <c r="A112" s="33"/>
      <c r="B112" s="33"/>
      <c r="C112" s="33"/>
      <c r="D112" s="33"/>
      <c r="E112" s="33"/>
      <c r="F112" s="33"/>
      <c r="G112" s="33"/>
      <c r="H112" s="33"/>
      <c r="I112" s="33"/>
    </row>
    <row r="113" spans="1:9" s="54" customFormat="1" ht="11.4" customHeight="1" x14ac:dyDescent="0.3">
      <c r="A113" s="33"/>
      <c r="B113" s="33"/>
      <c r="C113" s="33"/>
      <c r="D113" s="33"/>
      <c r="E113" s="33"/>
      <c r="F113" s="33"/>
      <c r="G113" s="33"/>
      <c r="H113" s="33"/>
      <c r="I113" s="33"/>
    </row>
    <row r="114" spans="1:9" s="54" customFormat="1" ht="11.4" customHeight="1" x14ac:dyDescent="0.3">
      <c r="A114" s="33"/>
      <c r="B114" s="33"/>
      <c r="C114" s="33"/>
      <c r="D114" s="33"/>
      <c r="E114" s="33"/>
      <c r="F114" s="33"/>
      <c r="G114" s="33"/>
      <c r="H114" s="33"/>
      <c r="I114" s="33"/>
    </row>
    <row r="115" spans="1:9" s="54" customFormat="1" ht="11.4" customHeight="1" x14ac:dyDescent="0.3">
      <c r="A115" s="33"/>
      <c r="B115" s="33"/>
      <c r="C115" s="33"/>
      <c r="D115" s="33"/>
      <c r="E115" s="33"/>
      <c r="F115" s="33"/>
      <c r="G115" s="33"/>
      <c r="H115" s="33"/>
      <c r="I115" s="33"/>
    </row>
    <row r="116" spans="1:9" s="54" customFormat="1" ht="11.4" customHeight="1" x14ac:dyDescent="0.3">
      <c r="A116" s="33"/>
      <c r="B116" s="33"/>
      <c r="C116" s="33"/>
      <c r="D116" s="33"/>
      <c r="E116" s="33"/>
      <c r="F116" s="33"/>
      <c r="G116" s="33"/>
      <c r="H116" s="33"/>
      <c r="I116" s="33"/>
    </row>
    <row r="117" spans="1:9" s="54" customFormat="1" ht="11.4" customHeight="1" x14ac:dyDescent="0.3">
      <c r="A117" s="33"/>
      <c r="B117" s="33"/>
      <c r="C117" s="33"/>
      <c r="D117" s="33"/>
      <c r="E117" s="33"/>
      <c r="F117" s="33"/>
      <c r="G117" s="33"/>
      <c r="H117" s="33"/>
      <c r="I117" s="33"/>
    </row>
    <row r="118" spans="1:9" s="54" customFormat="1" ht="11.4" customHeight="1" x14ac:dyDescent="0.3">
      <c r="A118" s="33"/>
      <c r="B118" s="33"/>
      <c r="C118" s="33"/>
      <c r="D118" s="33"/>
      <c r="E118" s="33"/>
      <c r="F118" s="33"/>
      <c r="G118" s="33"/>
      <c r="H118" s="33"/>
      <c r="I118" s="33"/>
    </row>
    <row r="119" spans="1:9" s="54" customFormat="1" ht="11.4" customHeight="1" x14ac:dyDescent="0.3">
      <c r="A119" s="33"/>
      <c r="B119" s="33"/>
      <c r="C119" s="33"/>
      <c r="D119" s="33"/>
      <c r="E119" s="33"/>
      <c r="F119" s="33"/>
      <c r="G119" s="33"/>
      <c r="H119" s="33"/>
      <c r="I119" s="33"/>
    </row>
    <row r="120" spans="1:9" s="54" customFormat="1" ht="11.4" customHeight="1" x14ac:dyDescent="0.3">
      <c r="A120" s="33"/>
      <c r="B120" s="33"/>
      <c r="C120" s="33"/>
      <c r="D120" s="33"/>
      <c r="E120" s="33"/>
      <c r="F120" s="33"/>
      <c r="G120" s="33"/>
      <c r="H120" s="33"/>
      <c r="I120" s="33"/>
    </row>
    <row r="121" spans="1:9" s="54" customFormat="1" ht="11.4" customHeight="1" x14ac:dyDescent="0.3">
      <c r="A121" s="33"/>
      <c r="B121" s="33"/>
      <c r="C121" s="33"/>
      <c r="D121" s="33"/>
      <c r="E121" s="33"/>
      <c r="F121" s="33"/>
      <c r="G121" s="33"/>
      <c r="H121" s="33"/>
      <c r="I121" s="33"/>
    </row>
    <row r="122" spans="1:9" s="54" customFormat="1" ht="11.4" customHeight="1" x14ac:dyDescent="0.3">
      <c r="A122" s="33"/>
      <c r="B122" s="33"/>
      <c r="C122" s="33"/>
      <c r="D122" s="33"/>
      <c r="E122" s="33"/>
      <c r="F122" s="33"/>
      <c r="G122" s="33"/>
      <c r="H122" s="33"/>
      <c r="I122" s="33"/>
    </row>
    <row r="123" spans="1:9" s="54" customFormat="1" ht="11.4" customHeight="1" x14ac:dyDescent="0.3">
      <c r="A123" s="33"/>
      <c r="B123" s="33"/>
      <c r="C123" s="33"/>
      <c r="D123" s="33"/>
      <c r="E123" s="33"/>
      <c r="F123" s="33"/>
      <c r="G123" s="33"/>
      <c r="H123" s="33"/>
      <c r="I123" s="33"/>
    </row>
    <row r="124" spans="1:9" s="54" customFormat="1" ht="11.4" customHeight="1" x14ac:dyDescent="0.3">
      <c r="A124" s="33"/>
      <c r="B124" s="33"/>
      <c r="C124" s="33"/>
      <c r="D124" s="33"/>
      <c r="E124" s="33"/>
      <c r="F124" s="33"/>
      <c r="G124" s="33"/>
      <c r="H124" s="33"/>
      <c r="I124" s="33"/>
    </row>
    <row r="125" spans="1:9" s="54" customFormat="1" ht="11.4" customHeight="1" x14ac:dyDescent="0.3">
      <c r="A125" s="33"/>
      <c r="B125" s="33"/>
      <c r="C125" s="33"/>
      <c r="D125" s="33"/>
      <c r="E125" s="33"/>
      <c r="F125" s="33"/>
      <c r="G125" s="33"/>
      <c r="H125" s="33"/>
      <c r="I125" s="33"/>
    </row>
    <row r="126" spans="1:9" s="54" customFormat="1" ht="11.4" customHeight="1" x14ac:dyDescent="0.3">
      <c r="A126" s="33"/>
      <c r="B126" s="33"/>
      <c r="C126" s="33"/>
      <c r="D126" s="33"/>
      <c r="E126" s="33"/>
      <c r="F126" s="33"/>
      <c r="G126" s="33"/>
      <c r="H126" s="33"/>
      <c r="I126" s="33"/>
    </row>
    <row r="127" spans="1:9" s="54" customFormat="1" ht="11.4" customHeight="1" x14ac:dyDescent="0.3">
      <c r="A127" s="33"/>
      <c r="B127" s="33"/>
      <c r="C127" s="33"/>
      <c r="D127" s="33"/>
      <c r="E127" s="33"/>
      <c r="F127" s="33"/>
      <c r="G127" s="33"/>
      <c r="H127" s="33"/>
      <c r="I127" s="33"/>
    </row>
    <row r="128" spans="1:9" s="54" customFormat="1" ht="11.4" customHeight="1" x14ac:dyDescent="0.3">
      <c r="A128" s="33"/>
      <c r="B128" s="33"/>
      <c r="C128" s="33"/>
      <c r="D128" s="33"/>
      <c r="E128" s="33"/>
      <c r="F128" s="33"/>
      <c r="G128" s="33"/>
      <c r="H128" s="33"/>
      <c r="I128" s="33"/>
    </row>
    <row r="129" spans="1:9" s="54" customFormat="1" ht="11.4" customHeight="1" x14ac:dyDescent="0.3">
      <c r="A129" s="33"/>
      <c r="B129" s="33"/>
      <c r="C129" s="33"/>
      <c r="D129" s="33"/>
      <c r="E129" s="33"/>
      <c r="F129" s="33"/>
      <c r="G129" s="33"/>
      <c r="H129" s="33"/>
      <c r="I129" s="33"/>
    </row>
    <row r="130" spans="1:9" s="54" customFormat="1" ht="11.4" customHeight="1" x14ac:dyDescent="0.3">
      <c r="A130" s="33"/>
      <c r="B130" s="33"/>
      <c r="C130" s="33"/>
      <c r="D130" s="33"/>
      <c r="E130" s="33"/>
      <c r="F130" s="33"/>
      <c r="G130" s="33"/>
      <c r="H130" s="33"/>
      <c r="I130" s="33"/>
    </row>
    <row r="131" spans="1:9" s="54" customFormat="1" ht="11.4" customHeight="1" x14ac:dyDescent="0.3">
      <c r="A131" s="33"/>
      <c r="B131" s="33"/>
      <c r="C131" s="33"/>
      <c r="D131" s="33"/>
      <c r="E131" s="33"/>
      <c r="F131" s="33"/>
      <c r="G131" s="33"/>
      <c r="H131" s="33"/>
      <c r="I131" s="33"/>
    </row>
    <row r="132" spans="1:9" s="54" customFormat="1" ht="11.4" customHeight="1" x14ac:dyDescent="0.3">
      <c r="A132" s="33"/>
      <c r="B132" s="33"/>
      <c r="C132" s="33"/>
      <c r="D132" s="33"/>
      <c r="E132" s="33"/>
      <c r="F132" s="33"/>
      <c r="G132" s="33"/>
      <c r="H132" s="33"/>
      <c r="I132" s="33"/>
    </row>
    <row r="133" spans="1:9" s="54" customFormat="1" ht="11.4" customHeight="1" x14ac:dyDescent="0.3">
      <c r="A133" s="33"/>
      <c r="B133" s="33"/>
      <c r="C133" s="33"/>
      <c r="D133" s="33"/>
      <c r="E133" s="33"/>
      <c r="F133" s="33"/>
      <c r="G133" s="33"/>
      <c r="H133" s="33"/>
      <c r="I133" s="33"/>
    </row>
    <row r="134" spans="1:9" s="54" customFormat="1" ht="11.4" customHeight="1" x14ac:dyDescent="0.3">
      <c r="A134" s="33"/>
      <c r="B134" s="33"/>
      <c r="C134" s="33"/>
      <c r="D134" s="33"/>
      <c r="E134" s="33"/>
      <c r="F134" s="33"/>
      <c r="G134" s="33"/>
      <c r="H134" s="33"/>
      <c r="I134" s="33"/>
    </row>
    <row r="135" spans="1:9" s="54" customFormat="1" ht="11.4" customHeight="1" x14ac:dyDescent="0.3">
      <c r="A135" s="33"/>
      <c r="B135" s="33"/>
      <c r="C135" s="33"/>
      <c r="D135" s="33"/>
      <c r="E135" s="33"/>
      <c r="F135" s="33"/>
      <c r="G135" s="33"/>
      <c r="H135" s="33"/>
      <c r="I135" s="33"/>
    </row>
    <row r="136" spans="1:9" s="54" customFormat="1" ht="11.4" customHeight="1" x14ac:dyDescent="0.3">
      <c r="A136" s="33"/>
      <c r="B136" s="33"/>
      <c r="C136" s="33"/>
      <c r="D136" s="33"/>
      <c r="E136" s="33"/>
      <c r="F136" s="33"/>
      <c r="G136" s="33"/>
      <c r="H136" s="33"/>
      <c r="I136" s="33"/>
    </row>
    <row r="137" spans="1:9" s="54" customFormat="1" ht="11.4" customHeight="1" x14ac:dyDescent="0.3">
      <c r="A137" s="33"/>
      <c r="B137" s="33"/>
      <c r="C137" s="33"/>
      <c r="D137" s="33"/>
      <c r="E137" s="33"/>
      <c r="F137" s="33"/>
      <c r="G137" s="33"/>
      <c r="H137" s="33"/>
      <c r="I137" s="33"/>
    </row>
    <row r="138" spans="1:9" s="54" customFormat="1" ht="11.4" customHeight="1" x14ac:dyDescent="0.3">
      <c r="A138" s="33"/>
      <c r="B138" s="33"/>
      <c r="C138" s="33"/>
      <c r="D138" s="33"/>
      <c r="E138" s="33"/>
      <c r="F138" s="33"/>
      <c r="G138" s="33"/>
      <c r="H138" s="33"/>
      <c r="I138" s="33"/>
    </row>
    <row r="139" spans="1:9" s="54" customFormat="1" ht="11.4" customHeight="1" x14ac:dyDescent="0.3">
      <c r="A139" s="33"/>
      <c r="B139" s="33"/>
      <c r="C139" s="33"/>
      <c r="D139" s="33"/>
      <c r="E139" s="33"/>
      <c r="F139" s="33"/>
      <c r="G139" s="33"/>
      <c r="H139" s="33"/>
      <c r="I139" s="33"/>
    </row>
    <row r="140" spans="1:9" s="54" customFormat="1" ht="11.4" customHeight="1" x14ac:dyDescent="0.3">
      <c r="A140" s="33"/>
      <c r="B140" s="33"/>
      <c r="C140" s="33"/>
      <c r="D140" s="33"/>
      <c r="E140" s="33"/>
      <c r="F140" s="33"/>
      <c r="G140" s="33"/>
      <c r="H140" s="33"/>
      <c r="I140" s="33"/>
    </row>
    <row r="141" spans="1:9" s="54" customFormat="1" ht="11.4" customHeight="1" x14ac:dyDescent="0.3">
      <c r="A141" s="33"/>
      <c r="B141" s="33"/>
      <c r="C141" s="33"/>
      <c r="D141" s="33"/>
      <c r="E141" s="33"/>
      <c r="F141" s="33"/>
      <c r="G141" s="33"/>
      <c r="H141" s="33"/>
      <c r="I141" s="33"/>
    </row>
    <row r="142" spans="1:9" s="54" customFormat="1" ht="11.4" customHeight="1" x14ac:dyDescent="0.3">
      <c r="A142" s="33"/>
      <c r="B142" s="33"/>
      <c r="C142" s="33"/>
      <c r="D142" s="33"/>
      <c r="E142" s="33"/>
      <c r="F142" s="33"/>
      <c r="G142" s="33"/>
      <c r="H142" s="33"/>
      <c r="I142" s="33"/>
    </row>
    <row r="143" spans="1:9" s="54" customFormat="1" ht="11.4" customHeight="1" x14ac:dyDescent="0.3">
      <c r="A143" s="33"/>
      <c r="B143" s="33"/>
      <c r="C143" s="33"/>
      <c r="D143" s="33"/>
      <c r="E143" s="33"/>
      <c r="F143" s="33"/>
      <c r="G143" s="33"/>
      <c r="H143" s="33"/>
      <c r="I143" s="33"/>
    </row>
    <row r="144" spans="1:9" s="54" customFormat="1" ht="11.4" customHeight="1" x14ac:dyDescent="0.3">
      <c r="A144" s="33"/>
      <c r="B144" s="33"/>
      <c r="C144" s="33"/>
      <c r="D144" s="33"/>
      <c r="E144" s="33"/>
      <c r="F144" s="33"/>
      <c r="G144" s="33"/>
      <c r="H144" s="33"/>
      <c r="I144" s="33"/>
    </row>
    <row r="145" spans="1:9" s="54" customFormat="1" ht="11.4" customHeight="1" x14ac:dyDescent="0.3">
      <c r="A145" s="33"/>
      <c r="B145" s="33"/>
      <c r="C145" s="33"/>
      <c r="D145" s="33"/>
      <c r="E145" s="33"/>
      <c r="F145" s="33"/>
      <c r="G145" s="33"/>
      <c r="H145" s="33"/>
      <c r="I145" s="33"/>
    </row>
    <row r="146" spans="1:9" s="54" customFormat="1" ht="11.4" customHeight="1" x14ac:dyDescent="0.3">
      <c r="A146" s="33"/>
      <c r="B146" s="33"/>
      <c r="C146" s="33"/>
      <c r="D146" s="33"/>
      <c r="E146" s="33"/>
      <c r="F146" s="33"/>
      <c r="G146" s="33"/>
      <c r="H146" s="33"/>
      <c r="I146" s="33"/>
    </row>
    <row r="147" spans="1:9" s="54" customFormat="1" ht="11.4" customHeight="1" x14ac:dyDescent="0.3">
      <c r="A147" s="33"/>
      <c r="B147" s="33"/>
      <c r="C147" s="33"/>
      <c r="D147" s="33"/>
      <c r="E147" s="33"/>
      <c r="F147" s="33"/>
      <c r="G147" s="33"/>
      <c r="H147" s="33"/>
      <c r="I147" s="33"/>
    </row>
    <row r="148" spans="1:9" s="54" customFormat="1" ht="11.4" customHeight="1" x14ac:dyDescent="0.3">
      <c r="A148" s="33"/>
      <c r="B148" s="33"/>
      <c r="C148" s="33"/>
      <c r="D148" s="33"/>
      <c r="E148" s="33"/>
      <c r="F148" s="33"/>
      <c r="G148" s="33"/>
      <c r="H148" s="33"/>
      <c r="I148" s="33"/>
    </row>
    <row r="149" spans="1:9" s="54" customFormat="1" ht="11.4" customHeight="1" x14ac:dyDescent="0.3">
      <c r="A149" s="33"/>
      <c r="B149" s="33"/>
      <c r="C149" s="33"/>
      <c r="D149" s="33"/>
      <c r="E149" s="33"/>
      <c r="F149" s="33"/>
      <c r="G149" s="33"/>
      <c r="H149" s="33"/>
      <c r="I149" s="33"/>
    </row>
    <row r="150" spans="1:9" s="54" customFormat="1" ht="11.4" customHeight="1" x14ac:dyDescent="0.3">
      <c r="A150" s="33"/>
      <c r="B150" s="33"/>
      <c r="C150" s="33"/>
      <c r="D150" s="33"/>
      <c r="E150" s="33"/>
      <c r="F150" s="33"/>
      <c r="G150" s="33"/>
      <c r="H150" s="33"/>
      <c r="I150" s="33"/>
    </row>
    <row r="151" spans="1:9" s="54" customFormat="1" ht="11.4" customHeight="1" x14ac:dyDescent="0.3">
      <c r="A151" s="33"/>
      <c r="B151" s="33"/>
      <c r="C151" s="33"/>
      <c r="D151" s="33"/>
      <c r="E151" s="33"/>
      <c r="F151" s="33"/>
      <c r="G151" s="33"/>
      <c r="H151" s="33"/>
      <c r="I151" s="33"/>
    </row>
    <row r="152" spans="1:9" s="54" customFormat="1" ht="11.4" customHeight="1" x14ac:dyDescent="0.3">
      <c r="A152" s="33"/>
      <c r="B152" s="33"/>
      <c r="C152" s="33"/>
      <c r="D152" s="33"/>
      <c r="E152" s="33"/>
      <c r="F152" s="33"/>
      <c r="G152" s="33"/>
      <c r="H152" s="33"/>
      <c r="I152" s="33"/>
    </row>
    <row r="153" spans="1:9" s="54" customFormat="1" ht="11.4" customHeight="1" x14ac:dyDescent="0.3">
      <c r="A153" s="33"/>
      <c r="B153" s="33"/>
      <c r="C153" s="33"/>
      <c r="D153" s="33"/>
      <c r="E153" s="33"/>
      <c r="F153" s="33"/>
      <c r="G153" s="33"/>
      <c r="H153" s="33"/>
      <c r="I153" s="33"/>
    </row>
    <row r="154" spans="1:9" s="54" customFormat="1" ht="11.4" customHeight="1" x14ac:dyDescent="0.3">
      <c r="A154" s="33"/>
      <c r="B154" s="33"/>
      <c r="C154" s="33"/>
      <c r="D154" s="33"/>
      <c r="E154" s="33"/>
      <c r="F154" s="33"/>
      <c r="G154" s="33"/>
      <c r="H154" s="33"/>
      <c r="I154" s="33"/>
    </row>
    <row r="155" spans="1:9" s="54" customFormat="1" ht="11.4" customHeight="1" x14ac:dyDescent="0.3">
      <c r="A155" s="33"/>
      <c r="B155" s="33"/>
      <c r="C155" s="33"/>
      <c r="D155" s="33"/>
      <c r="E155" s="33"/>
      <c r="F155" s="33"/>
      <c r="G155" s="33"/>
      <c r="H155" s="33"/>
      <c r="I155" s="33"/>
    </row>
    <row r="156" spans="1:9" s="54" customFormat="1" ht="11.4" customHeight="1" x14ac:dyDescent="0.3">
      <c r="A156" s="33"/>
      <c r="B156" s="33"/>
      <c r="C156" s="33"/>
      <c r="D156" s="33"/>
      <c r="E156" s="33"/>
      <c r="F156" s="33"/>
      <c r="G156" s="33"/>
      <c r="H156" s="33"/>
      <c r="I156" s="33"/>
    </row>
    <row r="157" spans="1:9" s="54" customFormat="1" ht="11.4" customHeight="1" x14ac:dyDescent="0.3">
      <c r="A157" s="33"/>
      <c r="B157" s="33"/>
      <c r="C157" s="33"/>
      <c r="D157" s="33"/>
      <c r="E157" s="33"/>
      <c r="F157" s="33"/>
      <c r="G157" s="33"/>
      <c r="H157" s="33"/>
      <c r="I157" s="33"/>
    </row>
    <row r="158" spans="1:9" s="54" customFormat="1" ht="11.4" customHeight="1" x14ac:dyDescent="0.3">
      <c r="A158" s="33"/>
      <c r="B158" s="33"/>
      <c r="C158" s="33"/>
      <c r="D158" s="33"/>
      <c r="E158" s="33"/>
      <c r="F158" s="33"/>
      <c r="G158" s="33"/>
      <c r="H158" s="33"/>
      <c r="I158" s="33"/>
    </row>
    <row r="159" spans="1:9" s="54" customFormat="1" ht="11.4" customHeight="1" x14ac:dyDescent="0.3">
      <c r="A159" s="33"/>
      <c r="B159" s="33"/>
      <c r="C159" s="33"/>
      <c r="D159" s="33"/>
      <c r="E159" s="33"/>
      <c r="F159" s="33"/>
      <c r="G159" s="33"/>
      <c r="H159" s="33"/>
      <c r="I159" s="33"/>
    </row>
    <row r="160" spans="1:9" s="54" customFormat="1" ht="11.4" customHeight="1" x14ac:dyDescent="0.3">
      <c r="A160" s="33"/>
      <c r="B160" s="33"/>
      <c r="C160" s="33"/>
      <c r="D160" s="33"/>
      <c r="E160" s="33"/>
      <c r="F160" s="33"/>
      <c r="G160" s="33"/>
      <c r="H160" s="33"/>
      <c r="I160" s="33"/>
    </row>
    <row r="161" spans="1:9" s="54" customFormat="1" ht="11.4" customHeight="1" x14ac:dyDescent="0.3">
      <c r="A161" s="33"/>
      <c r="B161" s="33"/>
      <c r="C161" s="33"/>
      <c r="D161" s="33"/>
      <c r="E161" s="33"/>
      <c r="F161" s="33"/>
      <c r="G161" s="33"/>
      <c r="H161" s="33"/>
      <c r="I161" s="33"/>
    </row>
    <row r="162" spans="1:9" s="54" customFormat="1" ht="11.4" customHeight="1" x14ac:dyDescent="0.3">
      <c r="A162" s="33"/>
      <c r="B162" s="33"/>
      <c r="C162" s="33"/>
      <c r="D162" s="33"/>
      <c r="E162" s="33"/>
      <c r="F162" s="33"/>
      <c r="G162" s="33"/>
      <c r="H162" s="33"/>
      <c r="I162" s="33"/>
    </row>
    <row r="163" spans="1:9" s="54" customFormat="1" ht="11.4" customHeight="1" x14ac:dyDescent="0.3">
      <c r="A163" s="33"/>
      <c r="B163" s="33"/>
      <c r="C163" s="33"/>
      <c r="D163" s="33"/>
      <c r="E163" s="33"/>
      <c r="F163" s="33"/>
      <c r="G163" s="33"/>
      <c r="H163" s="33"/>
      <c r="I163" s="33"/>
    </row>
    <row r="164" spans="1:9" s="54" customFormat="1" ht="11.4" customHeight="1" x14ac:dyDescent="0.3">
      <c r="A164" s="33"/>
      <c r="B164" s="33"/>
      <c r="C164" s="33"/>
      <c r="D164" s="33"/>
      <c r="E164" s="33"/>
      <c r="F164" s="33"/>
      <c r="G164" s="33"/>
      <c r="H164" s="33"/>
      <c r="I164" s="33"/>
    </row>
    <row r="165" spans="1:9" s="54" customFormat="1" ht="11.4" customHeight="1" x14ac:dyDescent="0.3">
      <c r="A165" s="33"/>
      <c r="B165" s="33"/>
      <c r="C165" s="33"/>
      <c r="D165" s="33"/>
      <c r="E165" s="33"/>
      <c r="F165" s="33"/>
      <c r="G165" s="33"/>
      <c r="H165" s="33"/>
      <c r="I165" s="33"/>
    </row>
    <row r="166" spans="1:9" s="54" customFormat="1" ht="11.4" customHeight="1" x14ac:dyDescent="0.3">
      <c r="A166" s="33"/>
      <c r="B166" s="33"/>
      <c r="C166" s="33"/>
      <c r="D166" s="33"/>
      <c r="E166" s="33"/>
      <c r="F166" s="33"/>
      <c r="G166" s="33"/>
      <c r="H166" s="33"/>
      <c r="I166" s="33"/>
    </row>
    <row r="167" spans="1:9" s="54" customFormat="1" ht="11.4" customHeight="1" x14ac:dyDescent="0.3">
      <c r="A167" s="33"/>
      <c r="B167" s="33"/>
      <c r="C167" s="33"/>
      <c r="D167" s="33"/>
      <c r="E167" s="33"/>
      <c r="F167" s="33"/>
      <c r="G167" s="33"/>
      <c r="H167" s="33"/>
      <c r="I167" s="33"/>
    </row>
    <row r="168" spans="1:9" s="54" customFormat="1" ht="11.4" customHeight="1" x14ac:dyDescent="0.3">
      <c r="A168" s="33"/>
      <c r="B168" s="33"/>
      <c r="C168" s="33"/>
      <c r="D168" s="33"/>
      <c r="E168" s="33"/>
      <c r="F168" s="33"/>
      <c r="G168" s="33"/>
      <c r="H168" s="33"/>
      <c r="I168" s="33"/>
    </row>
    <row r="169" spans="1:9" s="54" customFormat="1" ht="11.4" customHeight="1" x14ac:dyDescent="0.3">
      <c r="A169" s="33"/>
      <c r="B169" s="33"/>
      <c r="C169" s="33"/>
      <c r="D169" s="33"/>
      <c r="E169" s="33"/>
      <c r="F169" s="33"/>
      <c r="G169" s="33"/>
      <c r="H169" s="33"/>
      <c r="I169" s="33"/>
    </row>
    <row r="170" spans="1:9" s="54" customFormat="1" ht="11.4" customHeight="1" x14ac:dyDescent="0.3">
      <c r="A170" s="33"/>
      <c r="B170" s="33"/>
      <c r="C170" s="33"/>
      <c r="D170" s="33"/>
      <c r="E170" s="33"/>
      <c r="F170" s="33"/>
      <c r="G170" s="33"/>
      <c r="H170" s="33"/>
      <c r="I170" s="33"/>
    </row>
    <row r="171" spans="1:9" s="54" customFormat="1" ht="11.4" customHeight="1" x14ac:dyDescent="0.3">
      <c r="A171" s="33"/>
      <c r="B171" s="33"/>
      <c r="C171" s="33"/>
      <c r="D171" s="33"/>
      <c r="E171" s="33"/>
      <c r="F171" s="33"/>
      <c r="G171" s="33"/>
      <c r="H171" s="33"/>
      <c r="I171" s="33"/>
    </row>
    <row r="172" spans="1:9" s="54" customFormat="1" ht="11.4" customHeight="1" x14ac:dyDescent="0.3">
      <c r="A172" s="33"/>
      <c r="B172" s="33"/>
      <c r="C172" s="33"/>
      <c r="D172" s="33"/>
      <c r="E172" s="33"/>
      <c r="F172" s="33"/>
      <c r="G172" s="33"/>
      <c r="H172" s="33"/>
      <c r="I172" s="33"/>
    </row>
    <row r="173" spans="1:9" s="54" customFormat="1" ht="11.4" customHeight="1" x14ac:dyDescent="0.3">
      <c r="A173" s="33"/>
      <c r="B173" s="33"/>
      <c r="C173" s="33"/>
      <c r="D173" s="33"/>
      <c r="E173" s="33"/>
      <c r="F173" s="33"/>
      <c r="G173" s="33"/>
      <c r="H173" s="33"/>
      <c r="I173" s="33"/>
    </row>
    <row r="174" spans="1:9" s="54" customFormat="1" ht="11.4" customHeight="1" x14ac:dyDescent="0.3">
      <c r="A174" s="33"/>
      <c r="B174" s="33"/>
      <c r="C174" s="33"/>
      <c r="D174" s="33"/>
      <c r="E174" s="33"/>
      <c r="F174" s="33"/>
      <c r="G174" s="33"/>
      <c r="H174" s="33"/>
      <c r="I174" s="33"/>
    </row>
    <row r="175" spans="1:9" s="54" customFormat="1" ht="11.4" customHeight="1" x14ac:dyDescent="0.3">
      <c r="A175" s="33"/>
      <c r="B175" s="33"/>
      <c r="C175" s="33"/>
      <c r="D175" s="33"/>
      <c r="E175" s="33"/>
      <c r="F175" s="33"/>
      <c r="G175" s="33"/>
      <c r="H175" s="33"/>
      <c r="I175" s="33"/>
    </row>
    <row r="176" spans="1:9" s="54" customFormat="1" ht="11.4" customHeight="1" x14ac:dyDescent="0.3">
      <c r="A176" s="33"/>
      <c r="B176" s="33"/>
      <c r="C176" s="33"/>
      <c r="D176" s="33"/>
      <c r="E176" s="33"/>
      <c r="F176" s="33"/>
      <c r="G176" s="33"/>
      <c r="H176" s="33"/>
      <c r="I176" s="33"/>
    </row>
    <row r="177" spans="1:9" s="54" customFormat="1" ht="11.4" customHeight="1" x14ac:dyDescent="0.3">
      <c r="A177" s="33"/>
      <c r="B177" s="33"/>
      <c r="C177" s="33"/>
      <c r="D177" s="33"/>
      <c r="E177" s="33"/>
      <c r="F177" s="33"/>
      <c r="G177" s="33"/>
      <c r="H177" s="33"/>
      <c r="I177" s="33"/>
    </row>
    <row r="178" spans="1:9" s="54" customFormat="1" ht="11.4" customHeight="1" x14ac:dyDescent="0.3">
      <c r="A178" s="33"/>
      <c r="B178" s="33"/>
      <c r="C178" s="33"/>
      <c r="D178" s="33"/>
      <c r="E178" s="33"/>
      <c r="F178" s="33"/>
      <c r="G178" s="33"/>
      <c r="H178" s="33"/>
      <c r="I178" s="33"/>
    </row>
    <row r="179" spans="1:9" s="54" customFormat="1" ht="11.4" customHeight="1" x14ac:dyDescent="0.3">
      <c r="A179" s="33"/>
      <c r="B179" s="33"/>
      <c r="C179" s="33"/>
      <c r="D179" s="33"/>
      <c r="E179" s="33"/>
      <c r="F179" s="33"/>
      <c r="G179" s="33"/>
      <c r="H179" s="33"/>
      <c r="I179" s="33"/>
    </row>
    <row r="180" spans="1:9" s="54" customFormat="1" ht="11.4" customHeight="1" x14ac:dyDescent="0.3">
      <c r="A180" s="33"/>
      <c r="B180" s="33"/>
      <c r="C180" s="33"/>
      <c r="D180" s="33"/>
      <c r="E180" s="33"/>
      <c r="F180" s="33"/>
      <c r="G180" s="33"/>
      <c r="H180" s="33"/>
      <c r="I180" s="33"/>
    </row>
    <row r="181" spans="1:9" s="54" customFormat="1" ht="11.4" customHeight="1" x14ac:dyDescent="0.3">
      <c r="A181" s="33"/>
      <c r="B181" s="33"/>
      <c r="C181" s="33"/>
      <c r="D181" s="33"/>
      <c r="E181" s="33"/>
      <c r="F181" s="33"/>
      <c r="G181" s="33"/>
      <c r="H181" s="33"/>
      <c r="I181" s="33"/>
    </row>
    <row r="182" spans="1:9" s="54" customFormat="1" ht="11.4" customHeight="1" x14ac:dyDescent="0.3">
      <c r="A182" s="33"/>
      <c r="B182" s="33"/>
      <c r="C182" s="33"/>
      <c r="D182" s="33"/>
      <c r="E182" s="33"/>
      <c r="F182" s="33"/>
      <c r="G182" s="33"/>
      <c r="H182" s="33"/>
      <c r="I182" s="33"/>
    </row>
    <row r="183" spans="1:9" s="54" customFormat="1" ht="11.4" customHeight="1" x14ac:dyDescent="0.3">
      <c r="A183" s="33"/>
      <c r="B183" s="33"/>
      <c r="C183" s="33"/>
      <c r="D183" s="33"/>
      <c r="E183" s="33"/>
      <c r="F183" s="33"/>
      <c r="G183" s="33"/>
      <c r="H183" s="33"/>
      <c r="I183" s="33"/>
    </row>
    <row r="184" spans="1:9" s="54" customFormat="1" ht="11.4" customHeight="1" x14ac:dyDescent="0.3">
      <c r="A184" s="33"/>
      <c r="B184" s="33"/>
      <c r="C184" s="33"/>
      <c r="D184" s="33"/>
      <c r="E184" s="33"/>
      <c r="F184" s="33"/>
      <c r="G184" s="33"/>
      <c r="H184" s="33"/>
      <c r="I184" s="33"/>
    </row>
    <row r="185" spans="1:9" s="54" customFormat="1" ht="11.4" customHeight="1" x14ac:dyDescent="0.3">
      <c r="A185" s="33"/>
      <c r="B185" s="33"/>
      <c r="C185" s="33"/>
      <c r="D185" s="33"/>
      <c r="E185" s="33"/>
      <c r="F185" s="33"/>
      <c r="G185" s="33"/>
      <c r="H185" s="33"/>
      <c r="I185" s="33"/>
    </row>
    <row r="186" spans="1:9" s="54" customFormat="1" ht="11.4" customHeight="1" x14ac:dyDescent="0.3">
      <c r="A186" s="33"/>
      <c r="B186" s="33"/>
      <c r="C186" s="33"/>
      <c r="D186" s="33"/>
      <c r="E186" s="33"/>
      <c r="F186" s="33"/>
      <c r="G186" s="33"/>
      <c r="H186" s="33"/>
      <c r="I186" s="33"/>
    </row>
    <row r="187" spans="1:9" s="54" customFormat="1" ht="11.4" customHeight="1" x14ac:dyDescent="0.3">
      <c r="A187" s="33"/>
      <c r="B187" s="33"/>
      <c r="C187" s="33"/>
      <c r="D187" s="33"/>
      <c r="E187" s="33"/>
      <c r="F187" s="33"/>
      <c r="G187" s="33"/>
      <c r="H187" s="33"/>
      <c r="I187" s="33"/>
    </row>
    <row r="188" spans="1:9" s="54" customFormat="1" ht="11.4" customHeight="1" x14ac:dyDescent="0.3">
      <c r="A188" s="33"/>
      <c r="B188" s="33"/>
      <c r="C188" s="33"/>
      <c r="D188" s="33"/>
      <c r="E188" s="33"/>
      <c r="F188" s="33"/>
      <c r="G188" s="33"/>
      <c r="H188" s="33"/>
      <c r="I188" s="33"/>
    </row>
    <row r="189" spans="1:9" s="54" customFormat="1" ht="11.4" customHeight="1" x14ac:dyDescent="0.3">
      <c r="A189" s="33"/>
      <c r="B189" s="33"/>
      <c r="C189" s="33"/>
      <c r="D189" s="33"/>
      <c r="E189" s="33"/>
      <c r="F189" s="33"/>
      <c r="G189" s="33"/>
      <c r="H189" s="33"/>
      <c r="I189" s="33"/>
    </row>
    <row r="190" spans="1:9" s="54" customFormat="1" ht="11.4" customHeight="1" x14ac:dyDescent="0.3">
      <c r="A190" s="33"/>
      <c r="B190" s="33"/>
      <c r="C190" s="33"/>
      <c r="D190" s="33"/>
      <c r="E190" s="33"/>
      <c r="F190" s="33"/>
      <c r="G190" s="33"/>
      <c r="H190" s="33"/>
      <c r="I190" s="33"/>
    </row>
    <row r="191" spans="1:9" s="54" customFormat="1" ht="11.4" customHeight="1" x14ac:dyDescent="0.3">
      <c r="A191" s="33"/>
      <c r="B191" s="33"/>
      <c r="C191" s="33"/>
      <c r="D191" s="33"/>
      <c r="E191" s="33"/>
      <c r="F191" s="33"/>
      <c r="G191" s="33"/>
      <c r="H191" s="33"/>
      <c r="I191" s="33"/>
    </row>
    <row r="192" spans="1:9" s="54" customFormat="1" ht="11.4" customHeight="1" x14ac:dyDescent="0.3">
      <c r="A192" s="33"/>
      <c r="B192" s="33"/>
      <c r="C192" s="33"/>
      <c r="D192" s="33"/>
      <c r="E192" s="33"/>
      <c r="F192" s="33"/>
      <c r="G192" s="33"/>
      <c r="H192" s="33"/>
      <c r="I192" s="33"/>
    </row>
    <row r="193" spans="1:9" s="54" customFormat="1" ht="11.4" customHeight="1" x14ac:dyDescent="0.3">
      <c r="A193" s="33"/>
      <c r="B193" s="33"/>
      <c r="C193" s="33"/>
      <c r="D193" s="33"/>
      <c r="E193" s="33"/>
      <c r="F193" s="33"/>
      <c r="G193" s="33"/>
      <c r="H193" s="33"/>
      <c r="I193" s="33"/>
    </row>
    <row r="194" spans="1:9" s="54" customFormat="1" ht="11.4" customHeight="1" x14ac:dyDescent="0.3">
      <c r="A194" s="33"/>
      <c r="B194" s="33"/>
      <c r="C194" s="33"/>
      <c r="D194" s="33"/>
      <c r="E194" s="33"/>
      <c r="F194" s="33"/>
      <c r="G194" s="33"/>
      <c r="H194" s="33"/>
      <c r="I194" s="33"/>
    </row>
    <row r="195" spans="1:9" s="54" customFormat="1" ht="11.4" customHeight="1" x14ac:dyDescent="0.3">
      <c r="A195" s="33"/>
      <c r="B195" s="33"/>
      <c r="C195" s="33"/>
      <c r="D195" s="33"/>
      <c r="E195" s="33"/>
      <c r="F195" s="33"/>
      <c r="G195" s="33"/>
      <c r="H195" s="33"/>
      <c r="I195" s="33"/>
    </row>
    <row r="196" spans="1:9" s="54" customFormat="1" ht="11.4" customHeight="1" x14ac:dyDescent="0.3">
      <c r="A196" s="33"/>
      <c r="B196" s="33"/>
      <c r="C196" s="33"/>
      <c r="D196" s="33"/>
      <c r="E196" s="33"/>
      <c r="F196" s="33"/>
      <c r="G196" s="33"/>
      <c r="H196" s="33"/>
      <c r="I196" s="33"/>
    </row>
    <row r="197" spans="1:9" s="54" customFormat="1" ht="11.4" customHeight="1" x14ac:dyDescent="0.3">
      <c r="A197" s="33"/>
      <c r="B197" s="33"/>
      <c r="C197" s="33"/>
      <c r="D197" s="33"/>
      <c r="E197" s="33"/>
      <c r="F197" s="33"/>
      <c r="G197" s="33"/>
      <c r="H197" s="33"/>
      <c r="I197" s="33"/>
    </row>
    <row r="198" spans="1:9" s="54" customFormat="1" ht="11.4" customHeight="1" x14ac:dyDescent="0.3">
      <c r="A198" s="33"/>
      <c r="B198" s="33"/>
      <c r="C198" s="33"/>
      <c r="D198" s="33"/>
      <c r="E198" s="33"/>
      <c r="F198" s="33"/>
      <c r="G198" s="33"/>
      <c r="H198" s="33"/>
      <c r="I198" s="33"/>
    </row>
    <row r="199" spans="1:9" s="54" customFormat="1" ht="11.4" customHeight="1" x14ac:dyDescent="0.3">
      <c r="A199" s="33"/>
      <c r="B199" s="33"/>
      <c r="C199" s="33"/>
      <c r="D199" s="33"/>
      <c r="E199" s="33"/>
      <c r="F199" s="33"/>
      <c r="G199" s="33"/>
      <c r="H199" s="33"/>
      <c r="I199" s="33"/>
    </row>
    <row r="200" spans="1:9" s="54" customFormat="1" ht="11.4" customHeight="1" x14ac:dyDescent="0.3">
      <c r="A200" s="33"/>
      <c r="B200" s="33"/>
      <c r="C200" s="33"/>
      <c r="D200" s="33"/>
      <c r="E200" s="33"/>
      <c r="F200" s="33"/>
      <c r="G200" s="33"/>
      <c r="H200" s="33"/>
      <c r="I200" s="33"/>
    </row>
    <row r="201" spans="1:9" s="54" customFormat="1" ht="11.4" customHeight="1" x14ac:dyDescent="0.3">
      <c r="A201" s="33"/>
      <c r="B201" s="33"/>
      <c r="C201" s="33"/>
      <c r="D201" s="33"/>
      <c r="E201" s="33"/>
      <c r="F201" s="33"/>
      <c r="G201" s="33"/>
      <c r="H201" s="33"/>
      <c r="I201" s="33"/>
    </row>
    <row r="202" spans="1:9" s="54" customFormat="1" ht="11.4" customHeight="1" x14ac:dyDescent="0.3">
      <c r="A202" s="33"/>
      <c r="B202" s="33"/>
      <c r="C202" s="33"/>
      <c r="D202" s="33"/>
      <c r="E202" s="33"/>
      <c r="F202" s="33"/>
      <c r="G202" s="33"/>
      <c r="H202" s="33"/>
      <c r="I202" s="33"/>
    </row>
    <row r="203" spans="1:9" s="54" customFormat="1" ht="11.4" customHeight="1" x14ac:dyDescent="0.3">
      <c r="A203" s="33"/>
      <c r="B203" s="33"/>
      <c r="C203" s="33"/>
      <c r="D203" s="33"/>
      <c r="E203" s="33"/>
      <c r="F203" s="33"/>
      <c r="G203" s="33"/>
      <c r="H203" s="33"/>
      <c r="I203" s="33"/>
    </row>
    <row r="204" spans="1:9" s="54" customFormat="1" ht="11.4" customHeight="1" x14ac:dyDescent="0.3">
      <c r="A204" s="33"/>
      <c r="B204" s="33"/>
      <c r="C204" s="33"/>
      <c r="D204" s="33"/>
      <c r="E204" s="33"/>
      <c r="F204" s="33"/>
      <c r="G204" s="33"/>
      <c r="H204" s="33"/>
      <c r="I204" s="33"/>
    </row>
    <row r="205" spans="1:9" s="54" customFormat="1" ht="11.4" customHeight="1" x14ac:dyDescent="0.3">
      <c r="A205" s="33"/>
      <c r="B205" s="33"/>
      <c r="C205" s="33"/>
      <c r="D205" s="33"/>
      <c r="E205" s="33"/>
      <c r="F205" s="33"/>
      <c r="G205" s="33"/>
      <c r="H205" s="33"/>
      <c r="I205" s="33"/>
    </row>
    <row r="206" spans="1:9" s="54" customFormat="1" ht="11.4" customHeight="1" x14ac:dyDescent="0.3">
      <c r="A206" s="33"/>
      <c r="B206" s="33"/>
      <c r="C206" s="33"/>
      <c r="D206" s="33"/>
      <c r="E206" s="33"/>
      <c r="F206" s="33"/>
      <c r="G206" s="33"/>
      <c r="H206" s="33"/>
      <c r="I206" s="33"/>
    </row>
    <row r="207" spans="1:9" s="54" customFormat="1" ht="11.4" customHeight="1" x14ac:dyDescent="0.3">
      <c r="A207" s="33"/>
      <c r="B207" s="33"/>
      <c r="C207" s="33"/>
      <c r="D207" s="33"/>
      <c r="E207" s="33"/>
      <c r="F207" s="33"/>
      <c r="G207" s="33"/>
      <c r="H207" s="33"/>
      <c r="I207" s="33"/>
    </row>
    <row r="208" spans="1:9" s="54" customFormat="1" ht="11.4" customHeight="1" x14ac:dyDescent="0.3">
      <c r="A208" s="33"/>
      <c r="B208" s="33"/>
      <c r="C208" s="33"/>
      <c r="D208" s="33"/>
      <c r="E208" s="33"/>
      <c r="F208" s="33"/>
      <c r="G208" s="33"/>
      <c r="H208" s="33"/>
      <c r="I208" s="33"/>
    </row>
    <row r="209" spans="1:9" s="54" customFormat="1" ht="11.4" customHeight="1" x14ac:dyDescent="0.3">
      <c r="A209" s="33"/>
      <c r="B209" s="33"/>
      <c r="C209" s="33"/>
      <c r="D209" s="33"/>
      <c r="E209" s="33"/>
      <c r="F209" s="33"/>
      <c r="G209" s="33"/>
      <c r="H209" s="33"/>
      <c r="I209" s="33"/>
    </row>
    <row r="210" spans="1:9" s="54" customFormat="1" ht="11.4" customHeight="1" x14ac:dyDescent="0.3">
      <c r="A210" s="33"/>
      <c r="B210" s="33"/>
      <c r="C210" s="33"/>
      <c r="D210" s="33"/>
      <c r="E210" s="33"/>
      <c r="F210" s="33"/>
      <c r="G210" s="33"/>
      <c r="H210" s="33"/>
      <c r="I210" s="33"/>
    </row>
    <row r="211" spans="1:9" s="54" customFormat="1" ht="11.4" customHeight="1" x14ac:dyDescent="0.3">
      <c r="A211" s="33"/>
      <c r="B211" s="33"/>
      <c r="C211" s="33"/>
      <c r="D211" s="33"/>
      <c r="E211" s="33"/>
      <c r="F211" s="33"/>
      <c r="G211" s="33"/>
      <c r="H211" s="33"/>
      <c r="I211" s="33"/>
    </row>
    <row r="212" spans="1:9" s="54" customFormat="1" ht="11.4" customHeight="1" x14ac:dyDescent="0.3">
      <c r="A212" s="33"/>
      <c r="B212" s="33"/>
      <c r="C212" s="33"/>
      <c r="D212" s="33"/>
      <c r="E212" s="33"/>
      <c r="F212" s="33"/>
      <c r="G212" s="33"/>
      <c r="H212" s="33"/>
      <c r="I212" s="33"/>
    </row>
    <row r="213" spans="1:9" s="54" customFormat="1" ht="11.4" customHeight="1" x14ac:dyDescent="0.3">
      <c r="A213" s="33"/>
      <c r="B213" s="33"/>
      <c r="C213" s="33"/>
      <c r="D213" s="33"/>
      <c r="E213" s="33"/>
      <c r="F213" s="33"/>
      <c r="G213" s="33"/>
      <c r="H213" s="33"/>
      <c r="I213" s="33"/>
    </row>
    <row r="214" spans="1:9" s="54" customFormat="1" ht="11.4" customHeight="1" x14ac:dyDescent="0.3">
      <c r="A214" s="33"/>
      <c r="B214" s="33"/>
      <c r="C214" s="33"/>
      <c r="D214" s="33"/>
      <c r="E214" s="33"/>
      <c r="F214" s="33"/>
      <c r="G214" s="33"/>
      <c r="H214" s="33"/>
      <c r="I214" s="33"/>
    </row>
    <row r="215" spans="1:9" s="54" customFormat="1" ht="11.4" customHeight="1" x14ac:dyDescent="0.3">
      <c r="A215" s="33"/>
      <c r="B215" s="33"/>
      <c r="C215" s="33"/>
      <c r="D215" s="33"/>
      <c r="E215" s="33"/>
      <c r="F215" s="33"/>
      <c r="G215" s="33"/>
      <c r="H215" s="33"/>
      <c r="I215" s="33"/>
    </row>
    <row r="216" spans="1:9" s="54" customFormat="1" ht="11.4" customHeight="1" x14ac:dyDescent="0.3">
      <c r="A216" s="33"/>
      <c r="B216" s="33"/>
      <c r="C216" s="33"/>
      <c r="D216" s="33"/>
      <c r="E216" s="33"/>
      <c r="F216" s="33"/>
      <c r="G216" s="33"/>
      <c r="H216" s="33"/>
      <c r="I216" s="33"/>
    </row>
    <row r="217" spans="1:9" s="54" customFormat="1" ht="11.4" customHeight="1" x14ac:dyDescent="0.3">
      <c r="A217" s="33"/>
      <c r="B217" s="33"/>
      <c r="C217" s="33"/>
      <c r="D217" s="33"/>
      <c r="E217" s="33"/>
      <c r="F217" s="33"/>
      <c r="G217" s="33"/>
      <c r="H217" s="33"/>
      <c r="I217" s="33"/>
    </row>
    <row r="218" spans="1:9" s="54" customFormat="1" ht="11.4" customHeight="1" x14ac:dyDescent="0.3">
      <c r="A218" s="33"/>
      <c r="B218" s="33"/>
      <c r="C218" s="33"/>
      <c r="D218" s="33"/>
      <c r="E218" s="33"/>
      <c r="F218" s="33"/>
      <c r="G218" s="33"/>
      <c r="H218" s="33"/>
      <c r="I218" s="33"/>
    </row>
    <row r="219" spans="1:9" s="54" customFormat="1" ht="11.4" customHeight="1" x14ac:dyDescent="0.3">
      <c r="A219" s="33"/>
      <c r="B219" s="33"/>
      <c r="C219" s="33"/>
      <c r="D219" s="33"/>
      <c r="E219" s="33"/>
      <c r="F219" s="33"/>
      <c r="G219" s="33"/>
      <c r="H219" s="33"/>
      <c r="I219" s="33"/>
    </row>
    <row r="220" spans="1:9" s="54" customFormat="1" ht="11.4" customHeight="1" x14ac:dyDescent="0.3">
      <c r="A220" s="33"/>
      <c r="B220" s="33"/>
      <c r="C220" s="33"/>
      <c r="D220" s="33"/>
      <c r="E220" s="33"/>
      <c r="F220" s="33"/>
      <c r="G220" s="33"/>
      <c r="H220" s="33"/>
      <c r="I220" s="33"/>
    </row>
    <row r="221" spans="1:9" s="54" customFormat="1" ht="11.4" customHeight="1" x14ac:dyDescent="0.3">
      <c r="A221" s="33"/>
      <c r="B221" s="33"/>
      <c r="C221" s="33"/>
      <c r="D221" s="33"/>
      <c r="E221" s="33"/>
      <c r="F221" s="33"/>
      <c r="G221" s="33"/>
      <c r="H221" s="33"/>
      <c r="I221" s="33"/>
    </row>
    <row r="222" spans="1:9" s="54" customFormat="1" ht="11.4" customHeight="1" x14ac:dyDescent="0.3">
      <c r="A222" s="33"/>
      <c r="B222" s="33"/>
      <c r="C222" s="33"/>
      <c r="D222" s="33"/>
      <c r="E222" s="33"/>
      <c r="F222" s="33"/>
      <c r="G222" s="33"/>
      <c r="H222" s="33"/>
      <c r="I222" s="33"/>
    </row>
    <row r="223" spans="1:9" s="54" customFormat="1" ht="11.4" customHeight="1" x14ac:dyDescent="0.3">
      <c r="A223" s="33"/>
      <c r="B223" s="33"/>
      <c r="C223" s="33"/>
      <c r="D223" s="33"/>
      <c r="E223" s="33"/>
      <c r="F223" s="33"/>
      <c r="G223" s="33"/>
      <c r="H223" s="33"/>
      <c r="I223" s="33"/>
    </row>
    <row r="224" spans="1:9" s="54" customFormat="1" ht="11.4" customHeight="1" x14ac:dyDescent="0.3">
      <c r="A224" s="33"/>
      <c r="B224" s="33"/>
      <c r="C224" s="33"/>
      <c r="D224" s="33"/>
      <c r="E224" s="33"/>
      <c r="F224" s="33"/>
      <c r="G224" s="33"/>
      <c r="H224" s="33"/>
      <c r="I224" s="33"/>
    </row>
    <row r="225" spans="1:9" s="54" customFormat="1" ht="11.4" customHeight="1" x14ac:dyDescent="0.3">
      <c r="A225" s="33"/>
      <c r="B225" s="33"/>
      <c r="C225" s="33"/>
      <c r="D225" s="33"/>
      <c r="E225" s="33"/>
      <c r="F225" s="33"/>
      <c r="G225" s="33"/>
      <c r="H225" s="33"/>
      <c r="I225" s="33"/>
    </row>
    <row r="226" spans="1:9" s="54" customFormat="1" ht="11.4" customHeight="1" x14ac:dyDescent="0.3">
      <c r="A226" s="33"/>
      <c r="B226" s="33"/>
      <c r="C226" s="33"/>
      <c r="D226" s="33"/>
      <c r="E226" s="33"/>
      <c r="F226" s="33"/>
      <c r="G226" s="33"/>
      <c r="H226" s="33"/>
      <c r="I226" s="33"/>
    </row>
    <row r="227" spans="1:9" s="54" customFormat="1" ht="11.4" customHeight="1" x14ac:dyDescent="0.3">
      <c r="A227" s="33"/>
      <c r="B227" s="33"/>
      <c r="C227" s="33"/>
      <c r="D227" s="33"/>
      <c r="E227" s="33"/>
      <c r="F227" s="33"/>
      <c r="G227" s="33"/>
      <c r="H227" s="33"/>
      <c r="I227" s="33"/>
    </row>
    <row r="228" spans="1:9" s="54" customFormat="1" ht="11.4" customHeight="1" x14ac:dyDescent="0.3">
      <c r="A228" s="33"/>
      <c r="B228" s="33"/>
      <c r="C228" s="33"/>
      <c r="D228" s="33"/>
      <c r="E228" s="33"/>
      <c r="F228" s="33"/>
      <c r="G228" s="33"/>
      <c r="H228" s="33"/>
      <c r="I228" s="33"/>
    </row>
    <row r="229" spans="1:9" s="54" customFormat="1" ht="11.4" customHeight="1" x14ac:dyDescent="0.3">
      <c r="A229" s="33"/>
      <c r="B229" s="33"/>
      <c r="C229" s="33"/>
      <c r="D229" s="33"/>
      <c r="E229" s="33"/>
      <c r="F229" s="33"/>
      <c r="G229" s="33"/>
      <c r="H229" s="33"/>
      <c r="I229" s="33"/>
    </row>
    <row r="230" spans="1:9" s="54" customFormat="1" ht="11.4" customHeight="1" x14ac:dyDescent="0.3">
      <c r="A230" s="33"/>
      <c r="B230" s="33"/>
      <c r="C230" s="33"/>
      <c r="D230" s="33"/>
      <c r="E230" s="33"/>
      <c r="F230" s="33"/>
      <c r="G230" s="33"/>
      <c r="H230" s="33"/>
      <c r="I230" s="33"/>
    </row>
    <row r="231" spans="1:9" s="54" customFormat="1" ht="11.4" customHeight="1" x14ac:dyDescent="0.3">
      <c r="A231" s="33"/>
      <c r="B231" s="33"/>
      <c r="C231" s="33"/>
      <c r="D231" s="33"/>
      <c r="E231" s="33"/>
      <c r="F231" s="33"/>
      <c r="G231" s="33"/>
      <c r="H231" s="33"/>
      <c r="I231" s="33"/>
    </row>
    <row r="232" spans="1:9" s="54" customFormat="1" ht="11.4" customHeight="1" x14ac:dyDescent="0.3">
      <c r="A232" s="33"/>
      <c r="B232" s="33"/>
      <c r="C232" s="33"/>
      <c r="D232" s="33"/>
      <c r="E232" s="33"/>
      <c r="F232" s="33"/>
      <c r="G232" s="33"/>
      <c r="H232" s="33"/>
      <c r="I232" s="33"/>
    </row>
    <row r="233" spans="1:9" s="54" customFormat="1" ht="11.4" customHeight="1" x14ac:dyDescent="0.3">
      <c r="A233" s="33"/>
      <c r="B233" s="33"/>
      <c r="C233" s="33"/>
      <c r="D233" s="33"/>
      <c r="E233" s="33"/>
      <c r="F233" s="33"/>
      <c r="G233" s="33"/>
      <c r="H233" s="33"/>
      <c r="I233" s="33"/>
    </row>
    <row r="234" spans="1:9" s="54" customFormat="1" ht="11.4" customHeight="1" x14ac:dyDescent="0.3">
      <c r="A234" s="33"/>
      <c r="B234" s="33"/>
      <c r="C234" s="33"/>
      <c r="D234" s="33"/>
      <c r="E234" s="33"/>
      <c r="F234" s="33"/>
      <c r="G234" s="33"/>
      <c r="H234" s="33"/>
      <c r="I234" s="33"/>
    </row>
    <row r="235" spans="1:9" s="54" customFormat="1" ht="11.4" customHeight="1" x14ac:dyDescent="0.3">
      <c r="A235" s="33"/>
      <c r="B235" s="33"/>
      <c r="C235" s="33"/>
      <c r="D235" s="33"/>
      <c r="E235" s="33"/>
      <c r="F235" s="33"/>
      <c r="G235" s="33"/>
      <c r="H235" s="33"/>
      <c r="I235" s="33"/>
    </row>
    <row r="236" spans="1:9" s="54" customFormat="1" ht="11.4" customHeight="1" x14ac:dyDescent="0.3">
      <c r="A236" s="33"/>
      <c r="B236" s="33"/>
      <c r="C236" s="33"/>
      <c r="D236" s="33"/>
      <c r="E236" s="33"/>
      <c r="F236" s="33"/>
      <c r="G236" s="33"/>
      <c r="H236" s="33"/>
      <c r="I236" s="33"/>
    </row>
    <row r="237" spans="1:9" s="54" customFormat="1" ht="11.4" customHeight="1" x14ac:dyDescent="0.3">
      <c r="A237" s="33"/>
      <c r="B237" s="33"/>
      <c r="C237" s="33"/>
      <c r="D237" s="33"/>
      <c r="E237" s="33"/>
      <c r="F237" s="33"/>
      <c r="G237" s="33"/>
      <c r="H237" s="33"/>
      <c r="I237" s="33"/>
    </row>
    <row r="238" spans="1:9" s="54" customFormat="1" ht="11.4" customHeight="1" x14ac:dyDescent="0.3">
      <c r="A238" s="33"/>
      <c r="B238" s="33"/>
      <c r="C238" s="33"/>
      <c r="D238" s="33"/>
      <c r="E238" s="33"/>
      <c r="F238" s="33"/>
      <c r="G238" s="33"/>
      <c r="H238" s="33"/>
      <c r="I238" s="33"/>
    </row>
    <row r="239" spans="1:9" s="54" customFormat="1" ht="11.4" customHeight="1" x14ac:dyDescent="0.3">
      <c r="A239" s="33"/>
      <c r="B239" s="33"/>
      <c r="C239" s="33"/>
      <c r="D239" s="33"/>
      <c r="E239" s="33"/>
      <c r="F239" s="33"/>
      <c r="G239" s="33"/>
      <c r="H239" s="33"/>
      <c r="I239" s="33"/>
    </row>
    <row r="240" spans="1:9" s="54" customFormat="1" ht="11.4" customHeight="1" x14ac:dyDescent="0.3">
      <c r="A240" s="33"/>
      <c r="B240" s="33"/>
      <c r="C240" s="33"/>
      <c r="D240" s="33"/>
      <c r="E240" s="33"/>
      <c r="F240" s="33"/>
      <c r="G240" s="33"/>
      <c r="H240" s="33"/>
      <c r="I240" s="33"/>
    </row>
    <row r="241" spans="1:9" s="54" customFormat="1" ht="11.4" customHeight="1" x14ac:dyDescent="0.3">
      <c r="A241" s="33"/>
      <c r="B241" s="33"/>
      <c r="C241" s="33"/>
      <c r="D241" s="33"/>
      <c r="E241" s="33"/>
      <c r="F241" s="33"/>
      <c r="G241" s="33"/>
      <c r="H241" s="33"/>
      <c r="I241" s="33"/>
    </row>
    <row r="242" spans="1:9" s="54" customFormat="1" ht="11.4" customHeight="1" x14ac:dyDescent="0.3">
      <c r="A242" s="33"/>
      <c r="B242" s="33"/>
      <c r="C242" s="33"/>
      <c r="D242" s="33"/>
      <c r="E242" s="33"/>
      <c r="F242" s="33"/>
      <c r="G242" s="33"/>
      <c r="H242" s="33"/>
      <c r="I242" s="33"/>
    </row>
    <row r="243" spans="1:9" s="54" customFormat="1" ht="11.4" customHeight="1" x14ac:dyDescent="0.3">
      <c r="A243" s="33"/>
      <c r="B243" s="33"/>
      <c r="C243" s="33"/>
      <c r="D243" s="33"/>
      <c r="E243" s="33"/>
      <c r="F243" s="33"/>
      <c r="G243" s="33"/>
      <c r="H243" s="33"/>
      <c r="I243" s="33"/>
    </row>
    <row r="244" spans="1:9" s="54" customFormat="1" ht="11.4" customHeight="1" x14ac:dyDescent="0.3">
      <c r="A244" s="33"/>
      <c r="B244" s="33"/>
      <c r="C244" s="33"/>
      <c r="D244" s="33"/>
      <c r="E244" s="33"/>
      <c r="F244" s="33"/>
      <c r="G244" s="33"/>
      <c r="H244" s="33"/>
      <c r="I244" s="33"/>
    </row>
    <row r="245" spans="1:9" s="54" customFormat="1" ht="11.4" customHeight="1" x14ac:dyDescent="0.3">
      <c r="A245" s="33"/>
      <c r="B245" s="33"/>
      <c r="C245" s="33"/>
      <c r="D245" s="33"/>
      <c r="E245" s="33"/>
      <c r="F245" s="33"/>
      <c r="G245" s="33"/>
      <c r="H245" s="33"/>
      <c r="I245" s="33"/>
    </row>
    <row r="246" spans="1:9" s="54" customFormat="1" ht="11.4" customHeight="1" x14ac:dyDescent="0.3">
      <c r="A246" s="33"/>
      <c r="B246" s="33"/>
      <c r="C246" s="33"/>
      <c r="D246" s="33"/>
      <c r="E246" s="33"/>
      <c r="F246" s="33"/>
      <c r="G246" s="33"/>
      <c r="H246" s="33"/>
      <c r="I246" s="33"/>
    </row>
    <row r="247" spans="1:9" s="54" customFormat="1" ht="11.4" customHeight="1" x14ac:dyDescent="0.3">
      <c r="A247" s="33"/>
      <c r="B247" s="33"/>
      <c r="C247" s="33"/>
      <c r="D247" s="33"/>
      <c r="E247" s="33"/>
      <c r="F247" s="33"/>
      <c r="G247" s="33"/>
      <c r="H247" s="33"/>
      <c r="I247" s="33"/>
    </row>
    <row r="248" spans="1:9" s="54" customFormat="1" ht="11.4" customHeight="1" x14ac:dyDescent="0.3">
      <c r="A248" s="33"/>
      <c r="B248" s="33"/>
      <c r="C248" s="33"/>
      <c r="D248" s="33"/>
      <c r="E248" s="33"/>
      <c r="F248" s="33"/>
      <c r="G248" s="33"/>
      <c r="H248" s="33"/>
      <c r="I248" s="33"/>
    </row>
    <row r="249" spans="1:9" s="54" customFormat="1" ht="11.4" customHeight="1" x14ac:dyDescent="0.3">
      <c r="A249" s="33"/>
      <c r="B249" s="33"/>
      <c r="C249" s="33"/>
      <c r="D249" s="33"/>
      <c r="E249" s="33"/>
      <c r="F249" s="33"/>
      <c r="G249" s="33"/>
      <c r="H249" s="33"/>
      <c r="I249" s="33"/>
    </row>
    <row r="250" spans="1:9" s="54" customFormat="1" ht="11.4" customHeight="1" x14ac:dyDescent="0.3">
      <c r="A250" s="33"/>
      <c r="B250" s="33"/>
      <c r="C250" s="33"/>
      <c r="D250" s="33"/>
      <c r="E250" s="33"/>
      <c r="F250" s="33"/>
      <c r="G250" s="33"/>
      <c r="H250" s="33"/>
      <c r="I250" s="33"/>
    </row>
    <row r="251" spans="1:9" s="54" customFormat="1" ht="11.4" customHeight="1" x14ac:dyDescent="0.3">
      <c r="A251" s="33"/>
      <c r="B251" s="33"/>
      <c r="C251" s="33"/>
      <c r="D251" s="33"/>
      <c r="E251" s="33"/>
      <c r="F251" s="33"/>
      <c r="G251" s="33"/>
      <c r="H251" s="33"/>
      <c r="I251" s="33"/>
    </row>
    <row r="252" spans="1:9" s="54" customFormat="1" ht="11.4" customHeight="1" x14ac:dyDescent="0.3">
      <c r="A252" s="33"/>
      <c r="B252" s="33"/>
      <c r="C252" s="33"/>
      <c r="D252" s="33"/>
      <c r="E252" s="33"/>
      <c r="F252" s="33"/>
      <c r="G252" s="33"/>
      <c r="H252" s="33"/>
      <c r="I252" s="33"/>
    </row>
    <row r="253" spans="1:9" s="54" customFormat="1" ht="11.4" customHeight="1" x14ac:dyDescent="0.3">
      <c r="A253" s="33"/>
      <c r="B253" s="33"/>
      <c r="C253" s="33"/>
      <c r="D253" s="33"/>
      <c r="E253" s="33"/>
      <c r="F253" s="33"/>
      <c r="G253" s="33"/>
      <c r="H253" s="33"/>
      <c r="I253" s="33"/>
    </row>
    <row r="254" spans="1:9" s="54" customFormat="1" ht="11.4" customHeight="1" x14ac:dyDescent="0.3">
      <c r="A254" s="33"/>
      <c r="B254" s="33"/>
      <c r="C254" s="33"/>
      <c r="D254" s="33"/>
      <c r="E254" s="33"/>
      <c r="F254" s="33"/>
      <c r="G254" s="33"/>
      <c r="H254" s="33"/>
      <c r="I254" s="33"/>
    </row>
    <row r="255" spans="1:9" s="54" customFormat="1" ht="11.4" customHeight="1" x14ac:dyDescent="0.3">
      <c r="A255" s="33"/>
      <c r="B255" s="33"/>
      <c r="C255" s="33"/>
      <c r="D255" s="33"/>
      <c r="E255" s="33"/>
      <c r="F255" s="33"/>
      <c r="G255" s="33"/>
      <c r="H255" s="33"/>
      <c r="I255" s="33"/>
    </row>
    <row r="256" spans="1:9" s="54" customFormat="1" ht="11.4" customHeight="1" x14ac:dyDescent="0.3">
      <c r="A256" s="33"/>
      <c r="B256" s="33"/>
      <c r="C256" s="33"/>
      <c r="D256" s="33"/>
      <c r="E256" s="33"/>
      <c r="F256" s="33"/>
      <c r="G256" s="33"/>
      <c r="H256" s="33"/>
      <c r="I256" s="33"/>
    </row>
    <row r="257" spans="1:9" s="54" customFormat="1" ht="11.4" customHeight="1" x14ac:dyDescent="0.3">
      <c r="A257" s="33"/>
      <c r="B257" s="33"/>
      <c r="C257" s="33"/>
      <c r="D257" s="33"/>
      <c r="E257" s="33"/>
      <c r="F257" s="33"/>
      <c r="G257" s="33"/>
      <c r="H257" s="33"/>
      <c r="I257" s="33"/>
    </row>
    <row r="258" spans="1:9" s="54" customFormat="1" ht="11.4" customHeight="1" x14ac:dyDescent="0.3">
      <c r="A258" s="33"/>
      <c r="B258" s="33"/>
      <c r="C258" s="33"/>
      <c r="D258" s="33"/>
      <c r="E258" s="33"/>
      <c r="F258" s="33"/>
      <c r="G258" s="33"/>
      <c r="H258" s="33"/>
      <c r="I258" s="33"/>
    </row>
    <row r="259" spans="1:9" s="54" customFormat="1" ht="11.4" customHeight="1" x14ac:dyDescent="0.3">
      <c r="A259" s="33"/>
      <c r="B259" s="33"/>
      <c r="C259" s="33"/>
      <c r="D259" s="33"/>
      <c r="E259" s="33"/>
      <c r="F259" s="33"/>
      <c r="G259" s="33"/>
      <c r="H259" s="33"/>
      <c r="I259" s="33"/>
    </row>
    <row r="260" spans="1:9" s="54" customFormat="1" ht="11.4" customHeight="1" x14ac:dyDescent="0.3">
      <c r="A260" s="33"/>
      <c r="B260" s="33"/>
      <c r="C260" s="33"/>
      <c r="D260" s="33"/>
      <c r="E260" s="33"/>
      <c r="F260" s="33"/>
      <c r="G260" s="33"/>
      <c r="H260" s="33"/>
      <c r="I260" s="33"/>
    </row>
    <row r="261" spans="1:9" s="54" customFormat="1" ht="11.4" customHeight="1" x14ac:dyDescent="0.3">
      <c r="A261" s="33"/>
      <c r="B261" s="33"/>
      <c r="C261" s="33"/>
      <c r="D261" s="33"/>
      <c r="E261" s="33"/>
      <c r="F261" s="33"/>
      <c r="G261" s="33"/>
      <c r="H261" s="33"/>
      <c r="I261" s="33"/>
    </row>
    <row r="262" spans="1:9" s="54" customFormat="1" ht="11.4" customHeight="1" x14ac:dyDescent="0.3">
      <c r="A262" s="33"/>
      <c r="B262" s="33"/>
      <c r="C262" s="33"/>
      <c r="D262" s="33"/>
      <c r="E262" s="33"/>
      <c r="F262" s="33"/>
      <c r="G262" s="33"/>
      <c r="H262" s="33"/>
      <c r="I262" s="33"/>
    </row>
    <row r="263" spans="1:9" s="54" customFormat="1" ht="11.4" customHeight="1" x14ac:dyDescent="0.3">
      <c r="A263" s="33"/>
      <c r="B263" s="33"/>
      <c r="C263" s="33"/>
      <c r="D263" s="33"/>
      <c r="E263" s="33"/>
      <c r="F263" s="33"/>
      <c r="G263" s="33"/>
      <c r="H263" s="33"/>
      <c r="I263" s="33"/>
    </row>
    <row r="264" spans="1:9" s="54" customFormat="1" ht="11.4" customHeight="1" x14ac:dyDescent="0.3">
      <c r="A264" s="33"/>
      <c r="B264" s="33"/>
      <c r="C264" s="33"/>
      <c r="D264" s="33"/>
      <c r="E264" s="33"/>
      <c r="F264" s="33"/>
      <c r="G264" s="33"/>
      <c r="H264" s="33"/>
      <c r="I264" s="33"/>
    </row>
    <row r="265" spans="1:9" s="54" customFormat="1" ht="11.4" customHeight="1" x14ac:dyDescent="0.3">
      <c r="A265" s="33"/>
      <c r="B265" s="33"/>
      <c r="C265" s="33"/>
      <c r="D265" s="33"/>
      <c r="E265" s="33"/>
      <c r="F265" s="33"/>
      <c r="G265" s="33"/>
      <c r="H265" s="33"/>
      <c r="I265" s="33"/>
    </row>
    <row r="266" spans="1:9" s="54" customFormat="1" ht="11.4" customHeight="1" x14ac:dyDescent="0.3">
      <c r="A266" s="33"/>
      <c r="B266" s="33"/>
      <c r="C266" s="33"/>
      <c r="D266" s="33"/>
      <c r="E266" s="33"/>
      <c r="F266" s="33"/>
      <c r="G266" s="33"/>
      <c r="H266" s="33"/>
      <c r="I266" s="33"/>
    </row>
    <row r="267" spans="1:9" s="54" customFormat="1" ht="11.4" customHeight="1" x14ac:dyDescent="0.3">
      <c r="A267" s="33"/>
      <c r="B267" s="33"/>
      <c r="C267" s="33"/>
      <c r="D267" s="33"/>
      <c r="E267" s="33"/>
      <c r="F267" s="33"/>
      <c r="G267" s="33"/>
      <c r="H267" s="33"/>
      <c r="I267" s="33"/>
    </row>
    <row r="268" spans="1:9" s="54" customFormat="1" ht="11.4" customHeight="1" x14ac:dyDescent="0.3">
      <c r="A268" s="33"/>
      <c r="B268" s="33"/>
      <c r="C268" s="33"/>
      <c r="D268" s="33"/>
      <c r="E268" s="33"/>
      <c r="F268" s="33"/>
      <c r="G268" s="33"/>
      <c r="H268" s="33"/>
      <c r="I268" s="33"/>
    </row>
    <row r="269" spans="1:9" s="54" customFormat="1" ht="11.4" customHeight="1" x14ac:dyDescent="0.3">
      <c r="A269" s="33"/>
      <c r="B269" s="33"/>
      <c r="C269" s="33"/>
      <c r="D269" s="33"/>
      <c r="E269" s="33"/>
      <c r="F269" s="33"/>
      <c r="G269" s="33"/>
      <c r="H269" s="33"/>
      <c r="I269" s="33"/>
    </row>
    <row r="270" spans="1:9" s="54" customFormat="1" ht="11.4" customHeight="1" x14ac:dyDescent="0.3">
      <c r="A270" s="33"/>
      <c r="B270" s="33"/>
      <c r="C270" s="33"/>
      <c r="D270" s="33"/>
      <c r="E270" s="33"/>
      <c r="F270" s="33"/>
      <c r="G270" s="33"/>
      <c r="H270" s="33"/>
      <c r="I270" s="33"/>
    </row>
    <row r="271" spans="1:9" s="54" customFormat="1" ht="11.4" customHeight="1" x14ac:dyDescent="0.3">
      <c r="A271" s="33"/>
      <c r="B271" s="33"/>
      <c r="C271" s="33"/>
      <c r="D271" s="33"/>
      <c r="E271" s="33"/>
      <c r="F271" s="33"/>
      <c r="G271" s="33"/>
      <c r="H271" s="33"/>
      <c r="I271" s="33"/>
    </row>
    <row r="272" spans="1:9" s="54" customFormat="1" ht="11.4" customHeight="1" x14ac:dyDescent="0.3">
      <c r="A272" s="33"/>
      <c r="B272" s="33"/>
      <c r="C272" s="33"/>
      <c r="D272" s="33"/>
      <c r="E272" s="33"/>
      <c r="F272" s="33"/>
      <c r="G272" s="33"/>
      <c r="H272" s="33"/>
      <c r="I272" s="33"/>
    </row>
    <row r="273" spans="1:9" s="54" customFormat="1" ht="11.4" customHeight="1" x14ac:dyDescent="0.3">
      <c r="A273" s="33"/>
      <c r="B273" s="33"/>
      <c r="C273" s="33"/>
      <c r="D273" s="33"/>
      <c r="E273" s="33"/>
      <c r="F273" s="33"/>
      <c r="G273" s="33"/>
      <c r="H273" s="33"/>
      <c r="I273" s="33"/>
    </row>
    <row r="274" spans="1:9" s="54" customFormat="1" ht="11.4" customHeight="1" x14ac:dyDescent="0.3">
      <c r="A274" s="33"/>
      <c r="B274" s="33"/>
      <c r="C274" s="33"/>
      <c r="D274" s="33"/>
      <c r="E274" s="33"/>
      <c r="F274" s="33"/>
      <c r="G274" s="33"/>
      <c r="H274" s="33"/>
      <c r="I274" s="33"/>
    </row>
    <row r="275" spans="1:9" s="54" customFormat="1" ht="11.4" customHeight="1" x14ac:dyDescent="0.3">
      <c r="A275" s="33"/>
      <c r="B275" s="33"/>
      <c r="C275" s="33"/>
      <c r="D275" s="33"/>
      <c r="E275" s="33"/>
      <c r="F275" s="33"/>
      <c r="G275" s="33"/>
      <c r="H275" s="33"/>
      <c r="I275" s="33"/>
    </row>
    <row r="276" spans="1:9" s="54" customFormat="1" ht="11.4" customHeight="1" x14ac:dyDescent="0.3">
      <c r="A276" s="33"/>
      <c r="B276" s="33"/>
      <c r="C276" s="33"/>
      <c r="D276" s="33"/>
      <c r="E276" s="33"/>
      <c r="F276" s="33"/>
      <c r="G276" s="33"/>
      <c r="H276" s="33"/>
      <c r="I276" s="33"/>
    </row>
    <row r="277" spans="1:9" s="54" customFormat="1" ht="11.4" customHeight="1" x14ac:dyDescent="0.3">
      <c r="A277" s="33"/>
      <c r="B277" s="33"/>
      <c r="C277" s="33"/>
      <c r="D277" s="33"/>
      <c r="E277" s="33"/>
      <c r="F277" s="33"/>
      <c r="G277" s="33"/>
      <c r="H277" s="33"/>
      <c r="I277" s="33"/>
    </row>
    <row r="278" spans="1:9" s="54" customFormat="1" ht="11.4" customHeight="1" x14ac:dyDescent="0.3">
      <c r="A278" s="33"/>
      <c r="B278" s="33"/>
      <c r="C278" s="33"/>
      <c r="D278" s="33"/>
      <c r="E278" s="33"/>
      <c r="F278" s="33"/>
      <c r="G278" s="33"/>
      <c r="H278" s="33"/>
      <c r="I278" s="33"/>
    </row>
    <row r="279" spans="1:9" s="54" customFormat="1" ht="11.4" customHeight="1" x14ac:dyDescent="0.3">
      <c r="A279" s="33"/>
      <c r="B279" s="33"/>
      <c r="C279" s="33"/>
      <c r="D279" s="33"/>
      <c r="E279" s="33"/>
      <c r="F279" s="33"/>
      <c r="G279" s="33"/>
      <c r="H279" s="33"/>
      <c r="I279" s="33"/>
    </row>
    <row r="280" spans="1:9" s="54" customFormat="1" ht="11.4" customHeight="1" x14ac:dyDescent="0.3">
      <c r="A280" s="33"/>
      <c r="B280" s="33"/>
      <c r="C280" s="33"/>
      <c r="D280" s="33"/>
      <c r="E280" s="33"/>
      <c r="F280" s="33"/>
      <c r="G280" s="33"/>
      <c r="H280" s="33"/>
      <c r="I280" s="33"/>
    </row>
    <row r="281" spans="1:9" s="54" customFormat="1" ht="11.4" customHeight="1" x14ac:dyDescent="0.3">
      <c r="A281" s="33"/>
      <c r="B281" s="33"/>
      <c r="C281" s="33"/>
      <c r="D281" s="33"/>
      <c r="E281" s="33"/>
      <c r="F281" s="33"/>
      <c r="G281" s="33"/>
      <c r="H281" s="33"/>
      <c r="I281" s="33"/>
    </row>
    <row r="282" spans="1:9" s="54" customFormat="1" ht="11.4" customHeight="1" x14ac:dyDescent="0.3">
      <c r="A282" s="33"/>
      <c r="B282" s="33"/>
      <c r="C282" s="33"/>
      <c r="D282" s="33"/>
      <c r="E282" s="33"/>
      <c r="F282" s="33"/>
      <c r="G282" s="33"/>
      <c r="H282" s="33"/>
      <c r="I282" s="33"/>
    </row>
    <row r="283" spans="1:9" s="54" customFormat="1" ht="11.4" customHeight="1" x14ac:dyDescent="0.3">
      <c r="A283" s="33"/>
      <c r="B283" s="33"/>
      <c r="C283" s="33"/>
      <c r="D283" s="33"/>
      <c r="E283" s="33"/>
      <c r="F283" s="33"/>
      <c r="G283" s="33"/>
      <c r="H283" s="33"/>
      <c r="I283" s="33"/>
    </row>
    <row r="284" spans="1:9" s="54" customFormat="1" ht="11.4" customHeight="1" x14ac:dyDescent="0.3">
      <c r="A284" s="33"/>
      <c r="B284" s="33"/>
      <c r="C284" s="33"/>
      <c r="D284" s="33"/>
      <c r="E284" s="33"/>
      <c r="F284" s="33"/>
      <c r="G284" s="33"/>
      <c r="H284" s="33"/>
      <c r="I284" s="33"/>
    </row>
    <row r="285" spans="1:9" s="54" customFormat="1" ht="11.4" customHeight="1" x14ac:dyDescent="0.3">
      <c r="A285" s="33"/>
      <c r="B285" s="33"/>
      <c r="C285" s="33"/>
      <c r="D285" s="33"/>
      <c r="E285" s="33"/>
      <c r="F285" s="33"/>
      <c r="G285" s="33"/>
      <c r="H285" s="33"/>
      <c r="I285" s="33"/>
    </row>
    <row r="286" spans="1:9" s="54" customFormat="1" ht="11.4" customHeight="1" x14ac:dyDescent="0.3">
      <c r="A286" s="33"/>
      <c r="B286" s="33"/>
      <c r="C286" s="33"/>
      <c r="D286" s="33"/>
      <c r="E286" s="33"/>
      <c r="F286" s="33"/>
      <c r="G286" s="33"/>
      <c r="H286" s="33"/>
      <c r="I286" s="33"/>
    </row>
    <row r="287" spans="1:9" s="54" customFormat="1" ht="11.4" customHeight="1" x14ac:dyDescent="0.3">
      <c r="A287" s="33"/>
      <c r="B287" s="33"/>
      <c r="C287" s="33"/>
      <c r="D287" s="33"/>
      <c r="E287" s="33"/>
      <c r="F287" s="33"/>
      <c r="G287" s="33"/>
      <c r="H287" s="33"/>
      <c r="I287" s="33"/>
    </row>
    <row r="288" spans="1:9" s="54" customFormat="1" ht="11.4" customHeight="1" x14ac:dyDescent="0.3">
      <c r="A288" s="33"/>
      <c r="B288" s="33"/>
      <c r="C288" s="33"/>
      <c r="D288" s="33"/>
      <c r="E288" s="33"/>
      <c r="F288" s="33"/>
      <c r="G288" s="33"/>
      <c r="H288" s="33"/>
      <c r="I288" s="33"/>
    </row>
    <row r="289" spans="1:9" s="54" customFormat="1" ht="11.4" customHeight="1" x14ac:dyDescent="0.3">
      <c r="A289" s="33"/>
      <c r="B289" s="33"/>
      <c r="C289" s="33"/>
      <c r="D289" s="33"/>
      <c r="E289" s="33"/>
      <c r="F289" s="33"/>
      <c r="G289" s="33"/>
      <c r="H289" s="33"/>
      <c r="I289" s="33"/>
    </row>
    <row r="290" spans="1:9" s="54" customFormat="1" ht="11.4" customHeight="1" x14ac:dyDescent="0.3">
      <c r="A290" s="33"/>
      <c r="B290" s="33"/>
      <c r="C290" s="33"/>
      <c r="D290" s="33"/>
      <c r="E290" s="33"/>
      <c r="F290" s="33"/>
      <c r="G290" s="33"/>
      <c r="H290" s="33"/>
      <c r="I290" s="33"/>
    </row>
    <row r="291" spans="1:9" s="54" customFormat="1" ht="11.4" customHeight="1" x14ac:dyDescent="0.3">
      <c r="A291" s="33"/>
      <c r="B291" s="33"/>
      <c r="C291" s="33"/>
      <c r="D291" s="33"/>
      <c r="E291" s="33"/>
      <c r="F291" s="33"/>
      <c r="G291" s="33"/>
      <c r="H291" s="33"/>
      <c r="I291" s="33"/>
    </row>
    <row r="292" spans="1:9" s="54" customFormat="1" ht="11.4" customHeight="1" x14ac:dyDescent="0.3">
      <c r="A292" s="33"/>
      <c r="B292" s="33"/>
      <c r="C292" s="33"/>
      <c r="D292" s="33"/>
      <c r="E292" s="33"/>
      <c r="F292" s="33"/>
      <c r="G292" s="33"/>
      <c r="H292" s="33"/>
      <c r="I292" s="33"/>
    </row>
    <row r="293" spans="1:9" s="54" customFormat="1" ht="11.4" customHeight="1" x14ac:dyDescent="0.3">
      <c r="A293" s="33"/>
      <c r="B293" s="33"/>
      <c r="C293" s="33"/>
      <c r="D293" s="33"/>
      <c r="E293" s="33"/>
      <c r="F293" s="33"/>
      <c r="G293" s="33"/>
      <c r="H293" s="33"/>
      <c r="I293" s="33"/>
    </row>
    <row r="294" spans="1:9" s="54" customFormat="1" ht="11.4" customHeight="1" x14ac:dyDescent="0.3">
      <c r="A294" s="33"/>
      <c r="B294" s="33"/>
      <c r="C294" s="33"/>
      <c r="D294" s="33"/>
      <c r="E294" s="33"/>
      <c r="F294" s="33"/>
      <c r="G294" s="33"/>
      <c r="H294" s="33"/>
      <c r="I294" s="33"/>
    </row>
    <row r="295" spans="1:9" s="54" customFormat="1" ht="11.4" customHeight="1" x14ac:dyDescent="0.3">
      <c r="A295" s="33"/>
      <c r="B295" s="33"/>
      <c r="C295" s="33"/>
      <c r="D295" s="33"/>
      <c r="E295" s="33"/>
      <c r="F295" s="33"/>
      <c r="G295" s="33"/>
      <c r="H295" s="33"/>
      <c r="I295" s="33"/>
    </row>
    <row r="296" spans="1:9" s="54" customFormat="1" ht="11.4" customHeight="1" x14ac:dyDescent="0.3">
      <c r="A296" s="33"/>
      <c r="B296" s="33"/>
      <c r="C296" s="33"/>
      <c r="D296" s="33"/>
      <c r="E296" s="33"/>
      <c r="F296" s="33"/>
      <c r="G296" s="33"/>
      <c r="H296" s="33"/>
      <c r="I296" s="33"/>
    </row>
    <row r="297" spans="1:9" s="54" customFormat="1" ht="11.4" customHeight="1" x14ac:dyDescent="0.3">
      <c r="A297" s="33"/>
      <c r="B297" s="33"/>
      <c r="C297" s="33"/>
      <c r="D297" s="33"/>
      <c r="E297" s="33"/>
      <c r="F297" s="33"/>
      <c r="G297" s="33"/>
      <c r="H297" s="33"/>
      <c r="I297" s="33"/>
    </row>
    <row r="298" spans="1:9" s="54" customFormat="1" ht="11.4" customHeight="1" x14ac:dyDescent="0.3">
      <c r="A298" s="33"/>
      <c r="B298" s="33"/>
      <c r="C298" s="33"/>
      <c r="D298" s="33"/>
      <c r="E298" s="33"/>
      <c r="F298" s="33"/>
      <c r="G298" s="33"/>
      <c r="H298" s="33"/>
      <c r="I298" s="33"/>
    </row>
    <row r="299" spans="1:9" s="54" customFormat="1" ht="11.4" customHeight="1" x14ac:dyDescent="0.3">
      <c r="A299" s="33"/>
      <c r="B299" s="33"/>
      <c r="C299" s="33"/>
      <c r="D299" s="33"/>
      <c r="E299" s="33"/>
      <c r="F299" s="33"/>
      <c r="G299" s="33"/>
      <c r="H299" s="33"/>
      <c r="I299" s="33"/>
    </row>
    <row r="300" spans="1:9" s="54" customFormat="1" ht="11.4" customHeight="1" x14ac:dyDescent="0.3">
      <c r="A300" s="33"/>
      <c r="B300" s="33"/>
      <c r="C300" s="33"/>
      <c r="D300" s="33"/>
      <c r="E300" s="33"/>
      <c r="F300" s="33"/>
      <c r="G300" s="33"/>
      <c r="H300" s="33"/>
      <c r="I300" s="33"/>
    </row>
    <row r="301" spans="1:9" s="54" customFormat="1" ht="11.4" customHeight="1" x14ac:dyDescent="0.3">
      <c r="A301" s="33"/>
      <c r="B301" s="33"/>
      <c r="C301" s="33"/>
      <c r="D301" s="33"/>
      <c r="E301" s="33"/>
      <c r="F301" s="33"/>
      <c r="G301" s="33"/>
      <c r="H301" s="33"/>
      <c r="I301" s="33"/>
    </row>
    <row r="302" spans="1:9" s="54" customFormat="1" ht="11.4" customHeight="1" x14ac:dyDescent="0.3">
      <c r="A302" s="33"/>
      <c r="B302" s="33"/>
      <c r="C302" s="33"/>
      <c r="D302" s="33"/>
      <c r="E302" s="33"/>
      <c r="F302" s="33"/>
      <c r="G302" s="33"/>
      <c r="H302" s="33"/>
      <c r="I302" s="33"/>
    </row>
    <row r="303" spans="1:9" s="54" customFormat="1" ht="11.4" customHeight="1" x14ac:dyDescent="0.3">
      <c r="A303" s="33"/>
      <c r="B303" s="33"/>
      <c r="C303" s="33"/>
      <c r="D303" s="33"/>
      <c r="E303" s="33"/>
      <c r="F303" s="33"/>
      <c r="G303" s="33"/>
      <c r="H303" s="33"/>
      <c r="I303" s="33"/>
    </row>
    <row r="304" spans="1:9" s="54" customFormat="1" ht="11.4" customHeight="1" x14ac:dyDescent="0.3">
      <c r="A304" s="33"/>
      <c r="B304" s="33"/>
      <c r="C304" s="33"/>
      <c r="D304" s="33"/>
      <c r="E304" s="33"/>
      <c r="F304" s="33"/>
      <c r="G304" s="33"/>
      <c r="H304" s="33"/>
      <c r="I304" s="33"/>
    </row>
    <row r="305" spans="1:9" s="54" customFormat="1" ht="11.4" customHeight="1" x14ac:dyDescent="0.3">
      <c r="A305" s="33"/>
      <c r="B305" s="33"/>
      <c r="C305" s="33"/>
      <c r="D305" s="33"/>
      <c r="E305" s="33"/>
      <c r="F305" s="33"/>
      <c r="G305" s="33"/>
      <c r="H305" s="33"/>
      <c r="I305" s="33"/>
    </row>
    <row r="306" spans="1:9" s="54" customFormat="1" ht="11.4" customHeight="1" x14ac:dyDescent="0.3">
      <c r="A306" s="33"/>
      <c r="B306" s="33"/>
      <c r="C306" s="33"/>
      <c r="D306" s="33"/>
      <c r="E306" s="33"/>
      <c r="F306" s="33"/>
      <c r="G306" s="33"/>
      <c r="H306" s="33"/>
      <c r="I306" s="33"/>
    </row>
    <row r="307" spans="1:9" s="54" customFormat="1" ht="11.4" customHeight="1" x14ac:dyDescent="0.3">
      <c r="A307" s="33"/>
      <c r="B307" s="33"/>
      <c r="C307" s="33"/>
      <c r="D307" s="33"/>
      <c r="E307" s="33"/>
      <c r="F307" s="33"/>
      <c r="G307" s="33"/>
      <c r="H307" s="33"/>
      <c r="I307" s="33"/>
    </row>
    <row r="308" spans="1:9" s="54" customFormat="1" ht="11.4" customHeight="1" x14ac:dyDescent="0.3">
      <c r="A308" s="33"/>
      <c r="B308" s="33"/>
      <c r="C308" s="33"/>
      <c r="D308" s="33"/>
      <c r="E308" s="33"/>
      <c r="F308" s="33"/>
      <c r="G308" s="33"/>
      <c r="H308" s="33"/>
      <c r="I308" s="33"/>
    </row>
    <row r="309" spans="1:9" s="54" customFormat="1" ht="11.4" customHeight="1" x14ac:dyDescent="0.3">
      <c r="A309" s="33"/>
      <c r="B309" s="33"/>
      <c r="C309" s="33"/>
      <c r="D309" s="33"/>
      <c r="E309" s="33"/>
      <c r="F309" s="33"/>
      <c r="G309" s="33"/>
      <c r="H309" s="33"/>
      <c r="I309" s="33"/>
    </row>
    <row r="310" spans="1:9" s="54" customFormat="1" ht="11.4" customHeight="1" x14ac:dyDescent="0.3">
      <c r="A310" s="33"/>
      <c r="B310" s="33"/>
      <c r="C310" s="33"/>
      <c r="D310" s="33"/>
      <c r="E310" s="33"/>
      <c r="F310" s="33"/>
      <c r="G310" s="33"/>
      <c r="H310" s="33"/>
      <c r="I310" s="33"/>
    </row>
    <row r="311" spans="1:9" s="54" customFormat="1" ht="11.4" customHeight="1" x14ac:dyDescent="0.3">
      <c r="A311" s="33"/>
      <c r="B311" s="33"/>
      <c r="C311" s="33"/>
      <c r="D311" s="33"/>
      <c r="E311" s="33"/>
      <c r="F311" s="33"/>
      <c r="G311" s="33"/>
      <c r="H311" s="33"/>
      <c r="I311" s="33"/>
    </row>
    <row r="312" spans="1:9" s="54" customFormat="1" ht="11.4" customHeight="1" x14ac:dyDescent="0.3">
      <c r="A312" s="33"/>
      <c r="B312" s="33"/>
      <c r="C312" s="33"/>
      <c r="D312" s="33"/>
      <c r="E312" s="33"/>
      <c r="F312" s="33"/>
      <c r="G312" s="33"/>
      <c r="H312" s="33"/>
      <c r="I312" s="33"/>
    </row>
    <row r="313" spans="1:9" s="54" customFormat="1" ht="11.4" customHeight="1" x14ac:dyDescent="0.3">
      <c r="A313" s="33"/>
      <c r="B313" s="33"/>
      <c r="C313" s="33"/>
      <c r="D313" s="33"/>
      <c r="E313" s="33"/>
      <c r="F313" s="33"/>
      <c r="G313" s="33"/>
      <c r="H313" s="33"/>
      <c r="I313" s="33"/>
    </row>
    <row r="314" spans="1:9" s="54" customFormat="1" ht="11.4" customHeight="1" x14ac:dyDescent="0.3">
      <c r="A314" s="33"/>
      <c r="B314" s="33"/>
      <c r="C314" s="33"/>
      <c r="D314" s="33"/>
      <c r="E314" s="33"/>
      <c r="F314" s="33"/>
      <c r="G314" s="33"/>
      <c r="H314" s="33"/>
      <c r="I314" s="33"/>
    </row>
    <row r="315" spans="1:9" s="54" customFormat="1" ht="11.4" customHeight="1" x14ac:dyDescent="0.3">
      <c r="A315" s="33"/>
      <c r="B315" s="33"/>
      <c r="C315" s="33"/>
      <c r="D315" s="33"/>
      <c r="E315" s="33"/>
      <c r="F315" s="33"/>
      <c r="G315" s="33"/>
      <c r="H315" s="33"/>
      <c r="I315" s="33"/>
    </row>
    <row r="316" spans="1:9" s="54" customFormat="1" ht="11.4" customHeight="1" x14ac:dyDescent="0.3">
      <c r="A316" s="33"/>
      <c r="B316" s="33"/>
      <c r="C316" s="33"/>
      <c r="D316" s="33"/>
      <c r="E316" s="33"/>
      <c r="F316" s="33"/>
      <c r="G316" s="33"/>
      <c r="H316" s="33"/>
      <c r="I316" s="33"/>
    </row>
    <row r="317" spans="1:9" s="54" customFormat="1" ht="11.4" customHeight="1" x14ac:dyDescent="0.3">
      <c r="A317" s="33"/>
      <c r="B317" s="33"/>
      <c r="C317" s="33"/>
      <c r="D317" s="33"/>
      <c r="E317" s="33"/>
      <c r="F317" s="33"/>
      <c r="G317" s="33"/>
      <c r="H317" s="33"/>
      <c r="I317" s="33"/>
    </row>
    <row r="318" spans="1:9" s="54" customFormat="1" ht="11.4" customHeight="1" x14ac:dyDescent="0.3">
      <c r="A318" s="33"/>
      <c r="B318" s="33"/>
      <c r="C318" s="33"/>
      <c r="D318" s="33"/>
      <c r="E318" s="33"/>
      <c r="F318" s="33"/>
      <c r="G318" s="33"/>
      <c r="H318" s="33"/>
      <c r="I318" s="33"/>
    </row>
    <row r="319" spans="1:9" s="54" customFormat="1" ht="11.4" customHeight="1" x14ac:dyDescent="0.3">
      <c r="A319" s="33"/>
      <c r="B319" s="33"/>
      <c r="C319" s="33"/>
      <c r="D319" s="33"/>
      <c r="E319" s="33"/>
      <c r="F319" s="33"/>
      <c r="G319" s="33"/>
      <c r="H319" s="33"/>
      <c r="I319" s="33"/>
    </row>
    <row r="320" spans="1:9" s="54" customFormat="1" ht="11.4" customHeight="1" x14ac:dyDescent="0.3">
      <c r="A320" s="33"/>
      <c r="B320" s="33"/>
      <c r="C320" s="33"/>
      <c r="D320" s="33"/>
      <c r="E320" s="33"/>
      <c r="F320" s="33"/>
      <c r="G320" s="33"/>
      <c r="H320" s="33"/>
      <c r="I320" s="33"/>
    </row>
    <row r="321" spans="1:9" s="54" customFormat="1" ht="11.4" customHeight="1" x14ac:dyDescent="0.3">
      <c r="A321" s="33"/>
      <c r="B321" s="33"/>
      <c r="C321" s="33"/>
      <c r="D321" s="33"/>
      <c r="E321" s="33"/>
      <c r="F321" s="33"/>
      <c r="G321" s="33"/>
      <c r="H321" s="33"/>
      <c r="I321" s="33"/>
    </row>
    <row r="322" spans="1:9" s="54" customFormat="1" ht="11.4" customHeight="1" x14ac:dyDescent="0.3">
      <c r="A322" s="33"/>
      <c r="B322" s="33"/>
      <c r="C322" s="33"/>
      <c r="D322" s="33"/>
      <c r="E322" s="33"/>
      <c r="F322" s="33"/>
      <c r="G322" s="33"/>
      <c r="H322" s="33"/>
      <c r="I322" s="33"/>
    </row>
    <row r="323" spans="1:9" s="54" customFormat="1" ht="11.4" customHeight="1" x14ac:dyDescent="0.3">
      <c r="A323" s="33"/>
      <c r="B323" s="33"/>
      <c r="C323" s="33"/>
      <c r="D323" s="33"/>
      <c r="E323" s="33"/>
      <c r="F323" s="33"/>
      <c r="G323" s="33"/>
      <c r="H323" s="33"/>
      <c r="I323" s="33"/>
    </row>
    <row r="324" spans="1:9" s="54" customFormat="1" ht="11.4" customHeight="1" x14ac:dyDescent="0.3">
      <c r="A324" s="33"/>
      <c r="B324" s="33"/>
      <c r="C324" s="33"/>
      <c r="D324" s="33"/>
      <c r="E324" s="33"/>
      <c r="F324" s="33"/>
      <c r="G324" s="33"/>
      <c r="H324" s="33"/>
      <c r="I324" s="33"/>
    </row>
    <row r="325" spans="1:9" s="54" customFormat="1" ht="11.4" customHeight="1" x14ac:dyDescent="0.3">
      <c r="A325" s="33"/>
      <c r="B325" s="33"/>
      <c r="C325" s="33"/>
      <c r="D325" s="33"/>
      <c r="E325" s="33"/>
      <c r="F325" s="33"/>
      <c r="G325" s="33"/>
      <c r="H325" s="33"/>
      <c r="I325" s="33"/>
    </row>
    <row r="326" spans="1:9" s="54" customFormat="1" ht="11.4" customHeight="1" x14ac:dyDescent="0.3">
      <c r="A326" s="33"/>
      <c r="B326" s="33"/>
      <c r="C326" s="33"/>
      <c r="D326" s="33"/>
      <c r="E326" s="33"/>
      <c r="F326" s="33"/>
      <c r="G326" s="33"/>
      <c r="H326" s="33"/>
      <c r="I326" s="33"/>
    </row>
    <row r="327" spans="1:9" s="54" customFormat="1" ht="11.4" customHeight="1" x14ac:dyDescent="0.3">
      <c r="A327" s="33"/>
      <c r="B327" s="33"/>
      <c r="C327" s="33"/>
      <c r="D327" s="33"/>
      <c r="E327" s="33"/>
      <c r="F327" s="33"/>
      <c r="G327" s="33"/>
      <c r="H327" s="33"/>
      <c r="I327" s="33"/>
    </row>
    <row r="328" spans="1:9" s="54" customFormat="1" ht="11.4" customHeight="1" x14ac:dyDescent="0.3">
      <c r="A328" s="33"/>
      <c r="B328" s="33"/>
      <c r="C328" s="33"/>
      <c r="D328" s="33"/>
      <c r="E328" s="33"/>
      <c r="F328" s="33"/>
      <c r="G328" s="33"/>
      <c r="H328" s="33"/>
      <c r="I328" s="33"/>
    </row>
    <row r="329" spans="1:9" s="54" customFormat="1" ht="11.4" customHeight="1" x14ac:dyDescent="0.3">
      <c r="A329" s="33"/>
      <c r="B329" s="33"/>
      <c r="C329" s="33"/>
      <c r="D329" s="33"/>
      <c r="E329" s="33"/>
      <c r="F329" s="33"/>
      <c r="G329" s="33"/>
      <c r="H329" s="33"/>
      <c r="I329" s="33"/>
    </row>
    <row r="330" spans="1:9" s="54" customFormat="1" ht="11.4" customHeight="1" x14ac:dyDescent="0.3">
      <c r="A330" s="33"/>
      <c r="B330" s="33"/>
      <c r="C330" s="33"/>
      <c r="D330" s="33"/>
      <c r="E330" s="33"/>
      <c r="F330" s="33"/>
      <c r="G330" s="33"/>
      <c r="H330" s="33"/>
      <c r="I330" s="33"/>
    </row>
    <row r="331" spans="1:9" s="54" customFormat="1" ht="11.4" customHeight="1" x14ac:dyDescent="0.3">
      <c r="A331" s="33"/>
      <c r="B331" s="33"/>
      <c r="C331" s="33"/>
      <c r="D331" s="33"/>
      <c r="E331" s="33"/>
      <c r="F331" s="33"/>
      <c r="G331" s="33"/>
      <c r="H331" s="33"/>
      <c r="I331" s="33"/>
    </row>
    <row r="332" spans="1:9" s="54" customFormat="1" ht="11.4" customHeight="1" x14ac:dyDescent="0.3">
      <c r="A332" s="33"/>
      <c r="B332" s="33"/>
      <c r="C332" s="33"/>
      <c r="D332" s="33"/>
      <c r="E332" s="33"/>
      <c r="F332" s="33"/>
      <c r="G332" s="33"/>
      <c r="H332" s="33"/>
      <c r="I332" s="33"/>
    </row>
    <row r="333" spans="1:9" s="54" customFormat="1" ht="11.4" customHeight="1" x14ac:dyDescent="0.3">
      <c r="A333" s="33"/>
      <c r="B333" s="33"/>
      <c r="C333" s="33"/>
      <c r="D333" s="33"/>
      <c r="E333" s="33"/>
      <c r="F333" s="33"/>
      <c r="G333" s="33"/>
      <c r="H333" s="33"/>
      <c r="I333" s="33"/>
    </row>
    <row r="334" spans="1:9" s="54" customFormat="1" ht="11.4" customHeight="1" x14ac:dyDescent="0.3">
      <c r="A334" s="33"/>
      <c r="B334" s="33"/>
      <c r="C334" s="33"/>
      <c r="D334" s="33"/>
      <c r="E334" s="33"/>
      <c r="F334" s="33"/>
      <c r="G334" s="33"/>
      <c r="H334" s="33"/>
      <c r="I334" s="33"/>
    </row>
    <row r="335" spans="1:9" s="54" customFormat="1" ht="11.4" customHeight="1" x14ac:dyDescent="0.3">
      <c r="A335" s="33"/>
      <c r="B335" s="33"/>
      <c r="C335" s="33"/>
      <c r="D335" s="33"/>
      <c r="E335" s="33"/>
      <c r="F335" s="33"/>
      <c r="G335" s="33"/>
      <c r="H335" s="33"/>
      <c r="I335" s="33"/>
    </row>
    <row r="336" spans="1:9" s="54" customFormat="1" ht="11.4" customHeight="1" x14ac:dyDescent="0.3">
      <c r="A336" s="33"/>
      <c r="B336" s="33"/>
      <c r="C336" s="33"/>
      <c r="D336" s="33"/>
      <c r="E336" s="33"/>
      <c r="F336" s="33"/>
      <c r="G336" s="33"/>
      <c r="H336" s="33"/>
      <c r="I336" s="33"/>
    </row>
    <row r="337" spans="1:9" s="54" customFormat="1" ht="11.4" customHeight="1" x14ac:dyDescent="0.3">
      <c r="A337" s="33"/>
      <c r="B337" s="33"/>
      <c r="C337" s="33"/>
      <c r="D337" s="33"/>
      <c r="E337" s="33"/>
      <c r="F337" s="33"/>
      <c r="G337" s="33"/>
      <c r="H337" s="33"/>
      <c r="I337" s="33"/>
    </row>
    <row r="338" spans="1:9" s="54" customFormat="1" ht="11.4" customHeight="1" x14ac:dyDescent="0.3">
      <c r="A338" s="33"/>
      <c r="B338" s="33"/>
      <c r="C338" s="33"/>
      <c r="D338" s="33"/>
      <c r="E338" s="33"/>
      <c r="F338" s="33"/>
      <c r="G338" s="33"/>
      <c r="H338" s="33"/>
      <c r="I338" s="33"/>
    </row>
    <row r="339" spans="1:9" s="54" customFormat="1" ht="11.4" customHeight="1" x14ac:dyDescent="0.3">
      <c r="A339" s="33"/>
      <c r="B339" s="33"/>
      <c r="C339" s="33"/>
      <c r="D339" s="33"/>
      <c r="E339" s="33"/>
      <c r="F339" s="33"/>
      <c r="G339" s="33"/>
      <c r="H339" s="33"/>
      <c r="I339" s="33"/>
    </row>
    <row r="340" spans="1:9" s="54" customFormat="1" ht="11.4" customHeight="1" x14ac:dyDescent="0.3">
      <c r="A340" s="33"/>
      <c r="B340" s="33"/>
      <c r="C340" s="33"/>
      <c r="D340" s="33"/>
      <c r="E340" s="33"/>
      <c r="F340" s="33"/>
      <c r="G340" s="33"/>
      <c r="H340" s="33"/>
      <c r="I340" s="33"/>
    </row>
    <row r="341" spans="1:9" s="54" customFormat="1" ht="11.4" customHeight="1" x14ac:dyDescent="0.3">
      <c r="A341" s="33"/>
      <c r="B341" s="33"/>
      <c r="C341" s="33"/>
      <c r="D341" s="33"/>
      <c r="E341" s="33"/>
      <c r="F341" s="33"/>
      <c r="G341" s="33"/>
      <c r="H341" s="33"/>
      <c r="I341" s="33"/>
    </row>
    <row r="342" spans="1:9" s="54" customFormat="1" ht="11.4" customHeight="1" x14ac:dyDescent="0.3">
      <c r="A342" s="33"/>
      <c r="B342" s="33"/>
      <c r="C342" s="33"/>
      <c r="D342" s="33"/>
      <c r="E342" s="33"/>
      <c r="F342" s="33"/>
      <c r="G342" s="33"/>
      <c r="H342" s="33"/>
      <c r="I342" s="33"/>
    </row>
    <row r="343" spans="1:9" s="54" customFormat="1" ht="11.4" customHeight="1" x14ac:dyDescent="0.3">
      <c r="A343" s="33"/>
      <c r="B343" s="33"/>
      <c r="C343" s="33"/>
      <c r="D343" s="33"/>
      <c r="E343" s="33"/>
      <c r="F343" s="33"/>
      <c r="G343" s="33"/>
      <c r="H343" s="33"/>
      <c r="I343" s="33"/>
    </row>
    <row r="344" spans="1:9" s="54" customFormat="1" ht="11.4" customHeight="1" x14ac:dyDescent="0.3">
      <c r="A344" s="33"/>
      <c r="B344" s="33"/>
      <c r="C344" s="33"/>
      <c r="D344" s="33"/>
      <c r="E344" s="33"/>
      <c r="F344" s="33"/>
      <c r="G344" s="33"/>
      <c r="H344" s="33"/>
      <c r="I344" s="33"/>
    </row>
    <row r="345" spans="1:9" s="54" customFormat="1" ht="11.4" customHeight="1" x14ac:dyDescent="0.3">
      <c r="A345" s="33"/>
      <c r="B345" s="33"/>
      <c r="C345" s="33"/>
      <c r="D345" s="33"/>
      <c r="E345" s="33"/>
      <c r="F345" s="33"/>
      <c r="G345" s="33"/>
      <c r="H345" s="33"/>
      <c r="I345" s="33"/>
    </row>
    <row r="346" spans="1:9" s="54" customFormat="1" ht="11.4" customHeight="1" x14ac:dyDescent="0.3">
      <c r="A346" s="33"/>
      <c r="B346" s="33"/>
      <c r="C346" s="33"/>
      <c r="D346" s="33"/>
      <c r="E346" s="33"/>
      <c r="F346" s="33"/>
      <c r="G346" s="33"/>
      <c r="H346" s="33"/>
      <c r="I346" s="33"/>
    </row>
    <row r="347" spans="1:9" s="54" customFormat="1" ht="11.4" customHeight="1" x14ac:dyDescent="0.3">
      <c r="A347" s="33"/>
      <c r="B347" s="33"/>
      <c r="C347" s="33"/>
      <c r="D347" s="33"/>
      <c r="E347" s="33"/>
      <c r="F347" s="33"/>
      <c r="G347" s="33"/>
      <c r="H347" s="33"/>
      <c r="I347" s="33"/>
    </row>
    <row r="348" spans="1:9" s="54" customFormat="1" ht="11.4" customHeight="1" x14ac:dyDescent="0.3">
      <c r="A348" s="33"/>
      <c r="B348" s="33"/>
      <c r="C348" s="33"/>
      <c r="D348" s="33"/>
      <c r="E348" s="33"/>
      <c r="F348" s="33"/>
      <c r="G348" s="33"/>
      <c r="H348" s="33"/>
      <c r="I348" s="33"/>
    </row>
    <row r="349" spans="1:9" s="54" customFormat="1" ht="11.4" customHeight="1" x14ac:dyDescent="0.3">
      <c r="A349" s="33"/>
      <c r="B349" s="33"/>
      <c r="C349" s="33"/>
      <c r="D349" s="33"/>
      <c r="E349" s="33"/>
      <c r="F349" s="33"/>
      <c r="G349" s="33"/>
      <c r="H349" s="33"/>
      <c r="I349" s="33"/>
    </row>
    <row r="350" spans="1:9" s="54" customFormat="1" ht="11.4" customHeight="1" x14ac:dyDescent="0.3">
      <c r="A350" s="33"/>
      <c r="B350" s="33"/>
      <c r="C350" s="33"/>
      <c r="D350" s="33"/>
      <c r="E350" s="33"/>
      <c r="F350" s="33"/>
      <c r="G350" s="33"/>
      <c r="H350" s="33"/>
      <c r="I350" s="33"/>
    </row>
    <row r="351" spans="1:9" s="54" customFormat="1" ht="11.4" customHeight="1" x14ac:dyDescent="0.3">
      <c r="A351" s="33"/>
      <c r="B351" s="33"/>
      <c r="C351" s="33"/>
      <c r="D351" s="33"/>
      <c r="E351" s="33"/>
      <c r="F351" s="33"/>
      <c r="G351" s="33"/>
      <c r="H351" s="33"/>
      <c r="I351" s="33"/>
    </row>
    <row r="352" spans="1:9" s="54" customFormat="1" ht="11.4" customHeight="1" x14ac:dyDescent="0.3">
      <c r="A352" s="33"/>
      <c r="B352" s="33"/>
      <c r="C352" s="33"/>
      <c r="D352" s="33"/>
      <c r="E352" s="33"/>
      <c r="F352" s="33"/>
      <c r="G352" s="33"/>
      <c r="H352" s="33"/>
      <c r="I352" s="33"/>
    </row>
    <row r="353" spans="1:9" s="54" customFormat="1" ht="11.4" customHeight="1" x14ac:dyDescent="0.3">
      <c r="A353" s="33"/>
      <c r="B353" s="33"/>
      <c r="C353" s="33"/>
      <c r="D353" s="33"/>
      <c r="E353" s="33"/>
      <c r="F353" s="33"/>
      <c r="G353" s="33"/>
      <c r="H353" s="33"/>
      <c r="I353" s="33"/>
    </row>
    <row r="354" spans="1:9" s="54" customFormat="1" ht="11.4" customHeight="1" x14ac:dyDescent="0.3">
      <c r="A354" s="33"/>
      <c r="B354" s="33"/>
      <c r="C354" s="33"/>
      <c r="D354" s="33"/>
      <c r="E354" s="33"/>
      <c r="F354" s="33"/>
      <c r="G354" s="33"/>
      <c r="H354" s="33"/>
      <c r="I354" s="33"/>
    </row>
    <row r="355" spans="1:9" s="54" customFormat="1" ht="11.4" customHeight="1" x14ac:dyDescent="0.3">
      <c r="A355" s="33"/>
      <c r="B355" s="33"/>
      <c r="C355" s="33"/>
      <c r="D355" s="33"/>
      <c r="E355" s="33"/>
      <c r="F355" s="33"/>
      <c r="G355" s="33"/>
      <c r="H355" s="33"/>
      <c r="I355" s="33"/>
    </row>
    <row r="356" spans="1:9" s="54" customFormat="1" ht="11.4" customHeight="1" x14ac:dyDescent="0.3">
      <c r="A356" s="33"/>
      <c r="B356" s="33"/>
      <c r="C356" s="33"/>
      <c r="D356" s="33"/>
      <c r="E356" s="33"/>
      <c r="F356" s="33"/>
      <c r="G356" s="33"/>
      <c r="H356" s="33"/>
      <c r="I356" s="33"/>
    </row>
    <row r="357" spans="1:9" s="54" customFormat="1" ht="11.4" customHeight="1" x14ac:dyDescent="0.3">
      <c r="A357" s="33"/>
      <c r="B357" s="33"/>
      <c r="C357" s="33"/>
      <c r="D357" s="33"/>
      <c r="E357" s="33"/>
      <c r="F357" s="33"/>
      <c r="G357" s="33"/>
      <c r="H357" s="33"/>
      <c r="I357" s="33"/>
    </row>
    <row r="358" spans="1:9" s="54" customFormat="1" ht="11.4" customHeight="1" x14ac:dyDescent="0.3">
      <c r="A358" s="33"/>
      <c r="B358" s="33"/>
      <c r="C358" s="33"/>
      <c r="D358" s="33"/>
      <c r="E358" s="33"/>
      <c r="F358" s="33"/>
      <c r="G358" s="33"/>
      <c r="H358" s="33"/>
      <c r="I358" s="33"/>
    </row>
    <row r="359" spans="1:9" s="54" customFormat="1" ht="11.4" customHeight="1" x14ac:dyDescent="0.3">
      <c r="A359" s="33"/>
      <c r="B359" s="33"/>
      <c r="C359" s="33"/>
      <c r="D359" s="33"/>
      <c r="E359" s="33"/>
      <c r="F359" s="33"/>
      <c r="G359" s="33"/>
      <c r="H359" s="33"/>
      <c r="I359" s="33"/>
    </row>
    <row r="360" spans="1:9" s="54" customFormat="1" ht="11.4" customHeight="1" x14ac:dyDescent="0.3">
      <c r="A360" s="33"/>
      <c r="B360" s="33"/>
      <c r="C360" s="33"/>
      <c r="D360" s="33"/>
      <c r="E360" s="33"/>
      <c r="F360" s="33"/>
      <c r="G360" s="33"/>
      <c r="H360" s="33"/>
      <c r="I360" s="33"/>
    </row>
    <row r="361" spans="1:9" s="54" customFormat="1" ht="11.4" customHeight="1" x14ac:dyDescent="0.3">
      <c r="A361" s="33"/>
      <c r="B361" s="33"/>
      <c r="C361" s="33"/>
      <c r="D361" s="33"/>
      <c r="E361" s="33"/>
      <c r="F361" s="33"/>
      <c r="G361" s="33"/>
      <c r="H361" s="33"/>
      <c r="I361" s="33"/>
    </row>
    <row r="362" spans="1:9" s="54" customFormat="1" ht="11.4" customHeight="1" x14ac:dyDescent="0.3">
      <c r="A362" s="33"/>
      <c r="B362" s="33"/>
      <c r="C362" s="33"/>
      <c r="D362" s="33"/>
      <c r="E362" s="33"/>
      <c r="F362" s="33"/>
      <c r="G362" s="33"/>
      <c r="H362" s="33"/>
      <c r="I362" s="33"/>
    </row>
    <row r="363" spans="1:9" s="54" customFormat="1" ht="11.4" customHeight="1" x14ac:dyDescent="0.3">
      <c r="A363" s="33"/>
      <c r="B363" s="33"/>
      <c r="C363" s="33"/>
      <c r="D363" s="33"/>
      <c r="E363" s="33"/>
      <c r="F363" s="33"/>
      <c r="G363" s="33"/>
      <c r="H363" s="33"/>
      <c r="I363" s="33"/>
    </row>
    <row r="364" spans="1:9" s="54" customFormat="1" ht="11.4" customHeight="1" x14ac:dyDescent="0.3">
      <c r="A364" s="33"/>
      <c r="B364" s="33"/>
      <c r="C364" s="33"/>
      <c r="D364" s="33"/>
      <c r="E364" s="33"/>
      <c r="F364" s="33"/>
      <c r="G364" s="33"/>
      <c r="H364" s="33"/>
      <c r="I364" s="33"/>
    </row>
    <row r="365" spans="1:9" s="54" customFormat="1" ht="11.4" customHeight="1" x14ac:dyDescent="0.3">
      <c r="A365" s="33"/>
      <c r="B365" s="33"/>
      <c r="C365" s="33"/>
      <c r="D365" s="33"/>
      <c r="E365" s="33"/>
      <c r="F365" s="33"/>
      <c r="G365" s="33"/>
      <c r="H365" s="33"/>
      <c r="I365" s="33"/>
    </row>
    <row r="366" spans="1:9" s="54" customFormat="1" ht="11.4" customHeight="1" x14ac:dyDescent="0.3">
      <c r="A366" s="33"/>
      <c r="B366" s="33"/>
      <c r="C366" s="33"/>
      <c r="D366" s="33"/>
      <c r="E366" s="33"/>
      <c r="F366" s="33"/>
      <c r="G366" s="33"/>
      <c r="H366" s="33"/>
      <c r="I366" s="33"/>
    </row>
    <row r="367" spans="1:9" s="54" customFormat="1" ht="11.4" customHeight="1" x14ac:dyDescent="0.3">
      <c r="A367" s="33"/>
      <c r="B367" s="33"/>
      <c r="C367" s="33"/>
      <c r="D367" s="33"/>
      <c r="E367" s="33"/>
      <c r="F367" s="33"/>
      <c r="G367" s="33"/>
      <c r="H367" s="33"/>
      <c r="I367" s="33"/>
    </row>
    <row r="368" spans="1:9" s="54" customFormat="1" ht="11.4" customHeight="1" x14ac:dyDescent="0.3">
      <c r="A368" s="33"/>
      <c r="B368" s="33"/>
      <c r="C368" s="33"/>
      <c r="D368" s="33"/>
      <c r="E368" s="33"/>
      <c r="F368" s="33"/>
      <c r="G368" s="33"/>
      <c r="H368" s="33"/>
      <c r="I368" s="33"/>
    </row>
    <row r="369" spans="1:9" s="54" customFormat="1" ht="11.4" customHeight="1" x14ac:dyDescent="0.3">
      <c r="A369" s="33"/>
      <c r="B369" s="33"/>
      <c r="C369" s="33"/>
      <c r="D369" s="33"/>
      <c r="E369" s="33"/>
      <c r="F369" s="33"/>
      <c r="G369" s="33"/>
      <c r="H369" s="33"/>
      <c r="I369" s="33"/>
    </row>
    <row r="370" spans="1:9" s="54" customFormat="1" ht="11.4" customHeight="1" x14ac:dyDescent="0.3">
      <c r="A370" s="33"/>
      <c r="B370" s="33"/>
      <c r="C370" s="33"/>
      <c r="D370" s="33"/>
      <c r="E370" s="33"/>
      <c r="F370" s="33"/>
      <c r="G370" s="33"/>
      <c r="H370" s="33"/>
      <c r="I370" s="33"/>
    </row>
    <row r="371" spans="1:9" s="54" customFormat="1" ht="11.4" customHeight="1" x14ac:dyDescent="0.3">
      <c r="A371" s="33"/>
      <c r="B371" s="33"/>
      <c r="C371" s="33"/>
      <c r="D371" s="33"/>
      <c r="E371" s="33"/>
      <c r="F371" s="33"/>
      <c r="G371" s="33"/>
      <c r="H371" s="33"/>
      <c r="I371" s="33"/>
    </row>
    <row r="372" spans="1:9" s="54" customFormat="1" ht="11.4" customHeight="1" x14ac:dyDescent="0.3">
      <c r="A372" s="33"/>
      <c r="B372" s="33"/>
      <c r="C372" s="33"/>
      <c r="D372" s="33"/>
      <c r="E372" s="33"/>
      <c r="F372" s="33"/>
      <c r="G372" s="33"/>
      <c r="H372" s="33"/>
      <c r="I372" s="33"/>
    </row>
    <row r="373" spans="1:9" s="54" customFormat="1" ht="11.4" customHeight="1" x14ac:dyDescent="0.3">
      <c r="A373" s="33"/>
      <c r="B373" s="33"/>
      <c r="C373" s="33"/>
      <c r="D373" s="33"/>
      <c r="E373" s="33"/>
      <c r="F373" s="33"/>
      <c r="G373" s="33"/>
      <c r="H373" s="33"/>
      <c r="I373" s="33"/>
    </row>
    <row r="374" spans="1:9" s="54" customFormat="1" ht="11.4" customHeight="1" x14ac:dyDescent="0.3">
      <c r="A374" s="33"/>
      <c r="B374" s="33"/>
      <c r="C374" s="33"/>
      <c r="D374" s="33"/>
      <c r="E374" s="33"/>
      <c r="F374" s="33"/>
      <c r="G374" s="33"/>
      <c r="H374" s="33"/>
      <c r="I374" s="33"/>
    </row>
    <row r="375" spans="1:9" s="54" customFormat="1" ht="11.4" customHeight="1" x14ac:dyDescent="0.3">
      <c r="A375" s="33"/>
      <c r="B375" s="33"/>
      <c r="C375" s="33"/>
      <c r="D375" s="33"/>
      <c r="E375" s="33"/>
      <c r="F375" s="33"/>
      <c r="G375" s="33"/>
      <c r="H375" s="33"/>
      <c r="I375" s="33"/>
    </row>
    <row r="376" spans="1:9" s="54" customFormat="1" ht="11.4" customHeight="1" x14ac:dyDescent="0.3">
      <c r="A376" s="33"/>
      <c r="B376" s="33"/>
      <c r="C376" s="33"/>
      <c r="D376" s="33"/>
      <c r="E376" s="33"/>
      <c r="F376" s="33"/>
      <c r="G376" s="33"/>
      <c r="H376" s="33"/>
      <c r="I376" s="33"/>
    </row>
    <row r="377" spans="1:9" s="54" customFormat="1" ht="11.4" customHeight="1" x14ac:dyDescent="0.3">
      <c r="A377" s="33"/>
      <c r="B377" s="33"/>
      <c r="C377" s="33"/>
      <c r="D377" s="33"/>
      <c r="E377" s="33"/>
      <c r="F377" s="33"/>
      <c r="G377" s="33"/>
      <c r="H377" s="33"/>
      <c r="I377" s="33"/>
    </row>
    <row r="378" spans="1:9" s="54" customFormat="1" ht="11.4" customHeight="1" x14ac:dyDescent="0.3">
      <c r="A378" s="33"/>
      <c r="B378" s="33"/>
      <c r="C378" s="33"/>
      <c r="D378" s="33"/>
      <c r="E378" s="33"/>
      <c r="F378" s="33"/>
      <c r="G378" s="33"/>
      <c r="H378" s="33"/>
      <c r="I378" s="33"/>
    </row>
    <row r="379" spans="1:9" s="54" customFormat="1" ht="11.4" customHeight="1" x14ac:dyDescent="0.3">
      <c r="A379" s="33"/>
      <c r="B379" s="33"/>
      <c r="C379" s="33"/>
      <c r="D379" s="33"/>
      <c r="E379" s="33"/>
      <c r="F379" s="33"/>
      <c r="G379" s="33"/>
      <c r="H379" s="33"/>
      <c r="I379" s="33"/>
    </row>
    <row r="380" spans="1:9" s="54" customFormat="1" ht="11.4" customHeight="1" x14ac:dyDescent="0.3">
      <c r="A380" s="33"/>
      <c r="B380" s="33"/>
      <c r="C380" s="33"/>
      <c r="D380" s="33"/>
      <c r="E380" s="33"/>
      <c r="F380" s="33"/>
      <c r="G380" s="33"/>
      <c r="H380" s="33"/>
      <c r="I380" s="33"/>
    </row>
    <row r="381" spans="1:9" s="54" customFormat="1" ht="11.4" customHeight="1" x14ac:dyDescent="0.3">
      <c r="A381" s="33"/>
      <c r="B381" s="33"/>
      <c r="C381" s="33"/>
      <c r="D381" s="33"/>
      <c r="E381" s="33"/>
      <c r="F381" s="33"/>
      <c r="G381" s="33"/>
      <c r="H381" s="33"/>
      <c r="I381" s="33"/>
    </row>
    <row r="382" spans="1:9" s="54" customFormat="1" ht="11.4" customHeight="1" x14ac:dyDescent="0.3">
      <c r="A382" s="33"/>
      <c r="B382" s="33"/>
      <c r="C382" s="33"/>
      <c r="D382" s="33"/>
      <c r="E382" s="33"/>
      <c r="F382" s="33"/>
      <c r="G382" s="33"/>
      <c r="H382" s="33"/>
      <c r="I382" s="33"/>
    </row>
    <row r="383" spans="1:9" s="54" customFormat="1" ht="11.4" customHeight="1" x14ac:dyDescent="0.3">
      <c r="A383" s="33"/>
      <c r="B383" s="33"/>
      <c r="C383" s="33"/>
      <c r="D383" s="33"/>
      <c r="E383" s="33"/>
      <c r="F383" s="33"/>
      <c r="G383" s="33"/>
      <c r="H383" s="33"/>
      <c r="I383" s="33"/>
    </row>
    <row r="384" spans="1:9" s="54" customFormat="1" ht="11.4" customHeight="1" x14ac:dyDescent="0.3">
      <c r="A384" s="33"/>
      <c r="B384" s="33"/>
      <c r="C384" s="33"/>
      <c r="D384" s="33"/>
      <c r="E384" s="33"/>
      <c r="F384" s="33"/>
      <c r="G384" s="33"/>
      <c r="H384" s="33"/>
      <c r="I384" s="33"/>
    </row>
    <row r="385" spans="1:9" s="54" customFormat="1" ht="11.4" customHeight="1" x14ac:dyDescent="0.3">
      <c r="A385" s="33"/>
      <c r="B385" s="33"/>
      <c r="C385" s="33"/>
      <c r="D385" s="33"/>
      <c r="E385" s="33"/>
      <c r="F385" s="33"/>
      <c r="G385" s="33"/>
      <c r="H385" s="33"/>
      <c r="I385" s="33"/>
    </row>
    <row r="386" spans="1:9" s="54" customFormat="1" ht="11.4" customHeight="1" x14ac:dyDescent="0.3">
      <c r="A386" s="33"/>
      <c r="B386" s="33"/>
      <c r="C386" s="33"/>
      <c r="D386" s="33"/>
      <c r="E386" s="33"/>
      <c r="F386" s="33"/>
      <c r="G386" s="33"/>
      <c r="H386" s="33"/>
      <c r="I386" s="33"/>
    </row>
    <row r="387" spans="1:9" s="54" customFormat="1" ht="11.4" customHeight="1" x14ac:dyDescent="0.3">
      <c r="A387" s="33"/>
      <c r="B387" s="33"/>
      <c r="C387" s="33"/>
      <c r="D387" s="33"/>
      <c r="E387" s="33"/>
      <c r="F387" s="33"/>
      <c r="G387" s="33"/>
      <c r="H387" s="33"/>
      <c r="I387" s="33"/>
    </row>
    <row r="388" spans="1:9" s="54" customFormat="1" ht="11.4" customHeight="1" x14ac:dyDescent="0.3">
      <c r="A388" s="33"/>
      <c r="B388" s="33"/>
      <c r="C388" s="33"/>
      <c r="D388" s="33"/>
      <c r="E388" s="33"/>
      <c r="F388" s="33"/>
      <c r="G388" s="33"/>
      <c r="H388" s="33"/>
      <c r="I388" s="33"/>
    </row>
    <row r="389" spans="1:9" s="54" customFormat="1" ht="11.4" customHeight="1" x14ac:dyDescent="0.3">
      <c r="A389" s="33"/>
      <c r="B389" s="33"/>
      <c r="C389" s="33"/>
      <c r="D389" s="33"/>
      <c r="E389" s="33"/>
      <c r="F389" s="33"/>
      <c r="G389" s="33"/>
      <c r="H389" s="33"/>
      <c r="I389" s="33"/>
    </row>
    <row r="390" spans="1:9" s="54" customFormat="1" ht="11.4" customHeight="1" x14ac:dyDescent="0.3">
      <c r="A390" s="33"/>
      <c r="B390" s="33"/>
      <c r="C390" s="33"/>
      <c r="D390" s="33"/>
      <c r="E390" s="33"/>
      <c r="F390" s="33"/>
      <c r="G390" s="33"/>
      <c r="H390" s="33"/>
      <c r="I390" s="33"/>
    </row>
    <row r="391" spans="1:9" s="54" customFormat="1" ht="11.4" customHeight="1" x14ac:dyDescent="0.3">
      <c r="A391" s="33"/>
      <c r="B391" s="33"/>
      <c r="C391" s="33"/>
      <c r="D391" s="33"/>
      <c r="E391" s="33"/>
      <c r="F391" s="33"/>
      <c r="G391" s="33"/>
      <c r="H391" s="33"/>
      <c r="I391" s="33"/>
    </row>
    <row r="392" spans="1:9" s="54" customFormat="1" ht="11.4" customHeight="1" x14ac:dyDescent="0.3">
      <c r="A392" s="33"/>
      <c r="B392" s="33"/>
      <c r="C392" s="33"/>
      <c r="D392" s="33"/>
      <c r="E392" s="33"/>
      <c r="F392" s="33"/>
      <c r="G392" s="33"/>
      <c r="H392" s="33"/>
      <c r="I392" s="33"/>
    </row>
    <row r="393" spans="1:9" s="54" customFormat="1" ht="11.4" customHeight="1" x14ac:dyDescent="0.3">
      <c r="A393" s="33"/>
      <c r="B393" s="33"/>
      <c r="C393" s="33"/>
      <c r="D393" s="33"/>
      <c r="E393" s="33"/>
      <c r="F393" s="33"/>
      <c r="G393" s="33"/>
      <c r="H393" s="33"/>
      <c r="I393" s="33"/>
    </row>
    <row r="394" spans="1:9" s="54" customFormat="1" ht="11.4" customHeight="1" x14ac:dyDescent="0.3">
      <c r="A394" s="33"/>
      <c r="B394" s="33"/>
      <c r="C394" s="33"/>
      <c r="D394" s="33"/>
      <c r="E394" s="33"/>
      <c r="F394" s="33"/>
      <c r="G394" s="33"/>
      <c r="H394" s="33"/>
      <c r="I394" s="33"/>
    </row>
    <row r="395" spans="1:9" s="54" customFormat="1" ht="11.4" customHeight="1" x14ac:dyDescent="0.3">
      <c r="A395" s="33"/>
      <c r="B395" s="33"/>
      <c r="C395" s="33"/>
      <c r="D395" s="33"/>
      <c r="E395" s="33"/>
      <c r="F395" s="33"/>
      <c r="G395" s="33"/>
      <c r="H395" s="33"/>
      <c r="I395" s="33"/>
    </row>
    <row r="396" spans="1:9" s="54" customFormat="1" ht="11.4" customHeight="1" x14ac:dyDescent="0.3">
      <c r="A396" s="33"/>
      <c r="B396" s="33"/>
      <c r="C396" s="33"/>
      <c r="D396" s="33"/>
      <c r="E396" s="33"/>
      <c r="F396" s="33"/>
      <c r="G396" s="33"/>
      <c r="H396" s="33"/>
      <c r="I396" s="33"/>
    </row>
    <row r="397" spans="1:9" s="54" customFormat="1" ht="11.4" customHeight="1" x14ac:dyDescent="0.3">
      <c r="A397" s="33"/>
      <c r="B397" s="33"/>
      <c r="C397" s="33"/>
      <c r="D397" s="33"/>
      <c r="E397" s="33"/>
      <c r="F397" s="33"/>
      <c r="G397" s="33"/>
      <c r="H397" s="33"/>
      <c r="I397" s="33"/>
    </row>
    <row r="398" spans="1:9" s="54" customFormat="1" ht="11.4" customHeight="1" x14ac:dyDescent="0.3">
      <c r="A398" s="33"/>
      <c r="B398" s="33"/>
      <c r="C398" s="33"/>
      <c r="D398" s="33"/>
      <c r="E398" s="33"/>
      <c r="F398" s="33"/>
      <c r="G398" s="33"/>
      <c r="H398" s="33"/>
      <c r="I398" s="33"/>
    </row>
    <row r="399" spans="1:9" s="54" customFormat="1" ht="11.4" customHeight="1" x14ac:dyDescent="0.3">
      <c r="A399" s="33"/>
      <c r="B399" s="33"/>
      <c r="C399" s="33"/>
      <c r="D399" s="33"/>
      <c r="E399" s="33"/>
      <c r="F399" s="33"/>
      <c r="G399" s="33"/>
      <c r="H399" s="33"/>
      <c r="I399" s="33"/>
    </row>
    <row r="400" spans="1:9" s="54" customFormat="1" ht="11.4" customHeight="1" x14ac:dyDescent="0.3">
      <c r="A400" s="33"/>
      <c r="B400" s="33"/>
      <c r="C400" s="33"/>
      <c r="D400" s="33"/>
      <c r="E400" s="33"/>
      <c r="F400" s="33"/>
      <c r="G400" s="33"/>
      <c r="H400" s="33"/>
      <c r="I400" s="33"/>
    </row>
    <row r="401" spans="1:9" s="54" customFormat="1" ht="11.4" customHeight="1" x14ac:dyDescent="0.3">
      <c r="A401" s="33"/>
      <c r="B401" s="33"/>
      <c r="C401" s="33"/>
      <c r="D401" s="33"/>
      <c r="E401" s="33"/>
      <c r="F401" s="33"/>
      <c r="G401" s="33"/>
      <c r="H401" s="33"/>
      <c r="I401" s="33"/>
    </row>
    <row r="402" spans="1:9" s="54" customFormat="1" ht="11.4" customHeight="1" x14ac:dyDescent="0.3">
      <c r="A402" s="33"/>
      <c r="B402" s="33"/>
      <c r="C402" s="33"/>
      <c r="D402" s="33"/>
      <c r="E402" s="33"/>
      <c r="F402" s="33"/>
      <c r="G402" s="33"/>
      <c r="H402" s="33"/>
      <c r="I402" s="33"/>
    </row>
    <row r="403" spans="1:9" s="54" customFormat="1" ht="11.4" customHeight="1" x14ac:dyDescent="0.3">
      <c r="A403" s="33"/>
      <c r="B403" s="33"/>
      <c r="C403" s="33"/>
      <c r="D403" s="33"/>
      <c r="E403" s="33"/>
      <c r="F403" s="33"/>
      <c r="G403" s="33"/>
      <c r="H403" s="33"/>
      <c r="I403" s="33"/>
    </row>
    <row r="404" spans="1:9" s="54" customFormat="1" ht="11.4" customHeight="1" x14ac:dyDescent="0.3">
      <c r="A404" s="33"/>
      <c r="B404" s="33"/>
      <c r="C404" s="33"/>
      <c r="D404" s="33"/>
      <c r="E404" s="33"/>
      <c r="F404" s="33"/>
      <c r="G404" s="33"/>
      <c r="H404" s="33"/>
      <c r="I404" s="33"/>
    </row>
    <row r="405" spans="1:9" s="54" customFormat="1" ht="11.4" customHeight="1" x14ac:dyDescent="0.3">
      <c r="A405" s="33"/>
      <c r="B405" s="33"/>
      <c r="C405" s="33"/>
      <c r="D405" s="33"/>
      <c r="E405" s="33"/>
      <c r="F405" s="33"/>
      <c r="G405" s="33"/>
      <c r="H405" s="33"/>
      <c r="I405" s="33"/>
    </row>
    <row r="406" spans="1:9" s="54" customFormat="1" ht="11.4" customHeight="1" x14ac:dyDescent="0.3">
      <c r="A406" s="33"/>
      <c r="B406" s="33"/>
      <c r="C406" s="33"/>
      <c r="D406" s="33"/>
      <c r="E406" s="33"/>
      <c r="F406" s="33"/>
      <c r="G406" s="33"/>
      <c r="H406" s="33"/>
      <c r="I406" s="33"/>
    </row>
    <row r="407" spans="1:9" s="54" customFormat="1" ht="11.4" customHeight="1" x14ac:dyDescent="0.3">
      <c r="A407" s="33"/>
      <c r="B407" s="33"/>
      <c r="C407" s="33"/>
      <c r="D407" s="33"/>
      <c r="E407" s="33"/>
      <c r="F407" s="33"/>
      <c r="G407" s="33"/>
      <c r="H407" s="33"/>
      <c r="I407" s="33"/>
    </row>
    <row r="408" spans="1:9" s="54" customFormat="1" ht="11.4" customHeight="1" x14ac:dyDescent="0.3">
      <c r="A408" s="33"/>
      <c r="B408" s="33"/>
      <c r="C408" s="33"/>
      <c r="D408" s="33"/>
      <c r="E408" s="33"/>
      <c r="F408" s="33"/>
      <c r="G408" s="33"/>
      <c r="H408" s="33"/>
      <c r="I408" s="33"/>
    </row>
    <row r="409" spans="1:9" s="54" customFormat="1" ht="11.4" customHeight="1" x14ac:dyDescent="0.3">
      <c r="A409" s="33"/>
      <c r="B409" s="33"/>
      <c r="C409" s="33"/>
      <c r="D409" s="33"/>
      <c r="E409" s="33"/>
      <c r="F409" s="33"/>
      <c r="G409" s="33"/>
      <c r="H409" s="33"/>
      <c r="I409" s="33"/>
    </row>
    <row r="410" spans="1:9" s="54" customFormat="1" ht="11.4" customHeight="1" x14ac:dyDescent="0.3">
      <c r="A410" s="33"/>
      <c r="B410" s="33"/>
      <c r="C410" s="33"/>
      <c r="D410" s="33"/>
      <c r="E410" s="33"/>
      <c r="F410" s="33"/>
      <c r="G410" s="33"/>
      <c r="H410" s="33"/>
      <c r="I410" s="33"/>
    </row>
    <row r="411" spans="1:9" s="54" customFormat="1" ht="11.4" customHeight="1" x14ac:dyDescent="0.3">
      <c r="A411" s="33"/>
      <c r="B411" s="33"/>
      <c r="C411" s="33"/>
      <c r="D411" s="33"/>
      <c r="E411" s="33"/>
      <c r="F411" s="33"/>
      <c r="G411" s="33"/>
      <c r="H411" s="33"/>
      <c r="I411" s="33"/>
    </row>
    <row r="412" spans="1:9" s="54" customFormat="1" ht="11.4" customHeight="1" x14ac:dyDescent="0.3">
      <c r="A412" s="33"/>
      <c r="B412" s="33"/>
      <c r="C412" s="33"/>
      <c r="D412" s="33"/>
      <c r="E412" s="33"/>
      <c r="F412" s="33"/>
      <c r="G412" s="33"/>
      <c r="H412" s="33"/>
      <c r="I412" s="33"/>
    </row>
    <row r="413" spans="1:9" s="54" customFormat="1" ht="11.4" customHeight="1" x14ac:dyDescent="0.3">
      <c r="A413" s="33"/>
      <c r="B413" s="33"/>
      <c r="C413" s="33"/>
      <c r="D413" s="33"/>
      <c r="E413" s="33"/>
      <c r="F413" s="33"/>
      <c r="G413" s="33"/>
      <c r="H413" s="33"/>
      <c r="I413" s="33"/>
    </row>
    <row r="414" spans="1:9" s="54" customFormat="1" ht="11.4" customHeight="1" x14ac:dyDescent="0.3">
      <c r="A414" s="33"/>
      <c r="B414" s="33"/>
      <c r="C414" s="33"/>
      <c r="D414" s="33"/>
      <c r="E414" s="33"/>
      <c r="F414" s="33"/>
      <c r="G414" s="33"/>
      <c r="H414" s="33"/>
      <c r="I414" s="33"/>
    </row>
    <row r="415" spans="1:9" s="54" customFormat="1" ht="11.4" customHeight="1" x14ac:dyDescent="0.3">
      <c r="A415" s="33"/>
      <c r="B415" s="33"/>
      <c r="C415" s="33"/>
      <c r="D415" s="33"/>
      <c r="E415" s="33"/>
      <c r="F415" s="33"/>
      <c r="G415" s="33"/>
      <c r="H415" s="33"/>
      <c r="I415" s="33"/>
    </row>
    <row r="416" spans="1:9" s="54" customFormat="1" ht="11.4" customHeight="1" x14ac:dyDescent="0.3">
      <c r="A416" s="33"/>
      <c r="B416" s="33"/>
      <c r="C416" s="33"/>
      <c r="D416" s="33"/>
      <c r="E416" s="33"/>
      <c r="F416" s="33"/>
      <c r="G416" s="33"/>
      <c r="H416" s="33"/>
      <c r="I416" s="33"/>
    </row>
    <row r="417" spans="1:9" s="54" customFormat="1" ht="11.4" customHeight="1" x14ac:dyDescent="0.3">
      <c r="A417" s="33"/>
      <c r="B417" s="33"/>
      <c r="C417" s="33"/>
      <c r="D417" s="33"/>
      <c r="E417" s="33"/>
      <c r="F417" s="33"/>
      <c r="G417" s="33"/>
      <c r="H417" s="33"/>
      <c r="I417" s="33"/>
    </row>
    <row r="418" spans="1:9" s="54" customFormat="1" ht="11.4" customHeight="1" x14ac:dyDescent="0.3">
      <c r="A418" s="33"/>
      <c r="B418" s="33"/>
      <c r="C418" s="33"/>
      <c r="D418" s="33"/>
      <c r="E418" s="33"/>
      <c r="F418" s="33"/>
      <c r="G418" s="33"/>
      <c r="H418" s="33"/>
      <c r="I418" s="33"/>
    </row>
    <row r="419" spans="1:9" s="54" customFormat="1" ht="11.4" customHeight="1" x14ac:dyDescent="0.3">
      <c r="A419" s="33"/>
      <c r="B419" s="33"/>
      <c r="C419" s="33"/>
      <c r="D419" s="33"/>
      <c r="E419" s="33"/>
      <c r="F419" s="33"/>
      <c r="G419" s="33"/>
      <c r="H419" s="33"/>
      <c r="I419" s="33"/>
    </row>
    <row r="420" spans="1:9" s="54" customFormat="1" ht="11.4" customHeight="1" x14ac:dyDescent="0.3">
      <c r="A420" s="33"/>
      <c r="B420" s="33"/>
      <c r="C420" s="33"/>
      <c r="D420" s="33"/>
      <c r="E420" s="33"/>
      <c r="F420" s="33"/>
      <c r="G420" s="33"/>
      <c r="H420" s="33"/>
      <c r="I420" s="33"/>
    </row>
    <row r="421" spans="1:9" s="54" customFormat="1" ht="11.4" customHeight="1" x14ac:dyDescent="0.3">
      <c r="A421" s="33"/>
      <c r="B421" s="33"/>
      <c r="C421" s="33"/>
      <c r="D421" s="33"/>
      <c r="E421" s="33"/>
      <c r="F421" s="33"/>
      <c r="G421" s="33"/>
      <c r="H421" s="33"/>
      <c r="I421" s="33"/>
    </row>
    <row r="422" spans="1:9" s="54" customFormat="1" ht="11.4" customHeight="1" x14ac:dyDescent="0.3">
      <c r="A422" s="33"/>
      <c r="B422" s="33"/>
      <c r="C422" s="33"/>
      <c r="D422" s="33"/>
      <c r="E422" s="33"/>
      <c r="F422" s="33"/>
      <c r="G422" s="33"/>
      <c r="H422" s="33"/>
      <c r="I422" s="33"/>
    </row>
    <row r="423" spans="1:9" s="54" customFormat="1" ht="11.4" customHeight="1" x14ac:dyDescent="0.3">
      <c r="A423" s="33"/>
      <c r="B423" s="33"/>
      <c r="C423" s="33"/>
      <c r="D423" s="33"/>
      <c r="E423" s="33"/>
      <c r="F423" s="33"/>
      <c r="G423" s="33"/>
      <c r="H423" s="33"/>
      <c r="I423" s="33"/>
    </row>
    <row r="424" spans="1:9" s="54" customFormat="1" ht="11.4" customHeight="1" x14ac:dyDescent="0.3">
      <c r="A424" s="33"/>
      <c r="B424" s="33"/>
      <c r="C424" s="33"/>
      <c r="D424" s="33"/>
      <c r="E424" s="33"/>
      <c r="F424" s="33"/>
      <c r="G424" s="33"/>
      <c r="H424" s="33"/>
      <c r="I424" s="33"/>
    </row>
    <row r="425" spans="1:9" s="54" customFormat="1" ht="11.4" customHeight="1" x14ac:dyDescent="0.3">
      <c r="A425" s="33"/>
      <c r="B425" s="33"/>
      <c r="C425" s="33"/>
      <c r="D425" s="33"/>
      <c r="E425" s="33"/>
      <c r="F425" s="33"/>
      <c r="G425" s="33"/>
      <c r="H425" s="33"/>
      <c r="I425" s="33"/>
    </row>
    <row r="426" spans="1:9" s="54" customFormat="1" ht="11.4" customHeight="1" x14ac:dyDescent="0.3">
      <c r="A426" s="33"/>
      <c r="B426" s="33"/>
      <c r="C426" s="33"/>
      <c r="D426" s="33"/>
      <c r="E426" s="33"/>
      <c r="F426" s="33"/>
      <c r="G426" s="33"/>
      <c r="H426" s="33"/>
      <c r="I426" s="33"/>
    </row>
    <row r="427" spans="1:9" s="54" customFormat="1" ht="11.4" customHeight="1" x14ac:dyDescent="0.3">
      <c r="A427" s="33"/>
      <c r="B427" s="33"/>
      <c r="C427" s="33"/>
      <c r="D427" s="33"/>
      <c r="E427" s="33"/>
      <c r="F427" s="33"/>
      <c r="G427" s="33"/>
      <c r="H427" s="33"/>
      <c r="I427" s="33"/>
    </row>
    <row r="428" spans="1:9" s="54" customFormat="1" ht="11.4" customHeight="1" x14ac:dyDescent="0.3">
      <c r="A428" s="33"/>
      <c r="B428" s="33"/>
      <c r="C428" s="33"/>
      <c r="D428" s="33"/>
      <c r="E428" s="33"/>
      <c r="F428" s="33"/>
      <c r="G428" s="33"/>
      <c r="H428" s="33"/>
      <c r="I428" s="33"/>
    </row>
    <row r="429" spans="1:9" s="54" customFormat="1" ht="11.4" customHeight="1" x14ac:dyDescent="0.3">
      <c r="A429" s="33"/>
      <c r="B429" s="33"/>
      <c r="C429" s="33"/>
      <c r="D429" s="33"/>
      <c r="E429" s="33"/>
      <c r="F429" s="33"/>
      <c r="G429" s="33"/>
      <c r="H429" s="33"/>
      <c r="I429" s="33"/>
    </row>
    <row r="430" spans="1:9" s="54" customFormat="1" ht="11.4" customHeight="1" x14ac:dyDescent="0.3">
      <c r="A430" s="33"/>
      <c r="B430" s="33"/>
      <c r="C430" s="33"/>
      <c r="D430" s="33"/>
      <c r="E430" s="33"/>
      <c r="F430" s="33"/>
      <c r="G430" s="33"/>
      <c r="H430" s="33"/>
      <c r="I430" s="33"/>
    </row>
    <row r="431" spans="1:9" s="54" customFormat="1" ht="11.4" customHeight="1" x14ac:dyDescent="0.3">
      <c r="A431" s="33"/>
      <c r="B431" s="33"/>
      <c r="C431" s="33"/>
      <c r="D431" s="33"/>
      <c r="E431" s="33"/>
      <c r="F431" s="33"/>
      <c r="G431" s="33"/>
      <c r="H431" s="33"/>
      <c r="I431" s="33"/>
    </row>
    <row r="432" spans="1:9" s="54" customFormat="1" ht="11.4" customHeight="1" x14ac:dyDescent="0.3">
      <c r="A432" s="33"/>
      <c r="B432" s="33"/>
      <c r="C432" s="33"/>
      <c r="D432" s="33"/>
      <c r="E432" s="33"/>
      <c r="F432" s="33"/>
      <c r="G432" s="33"/>
      <c r="H432" s="33"/>
      <c r="I432" s="33"/>
    </row>
    <row r="433" spans="1:9" s="54" customFormat="1" ht="11.4" customHeight="1" x14ac:dyDescent="0.3">
      <c r="A433" s="33"/>
      <c r="B433" s="33"/>
      <c r="C433" s="33"/>
      <c r="D433" s="33"/>
      <c r="E433" s="33"/>
      <c r="F433" s="33"/>
      <c r="G433" s="33"/>
      <c r="H433" s="33"/>
      <c r="I433" s="33"/>
    </row>
    <row r="434" spans="1:9" s="54" customFormat="1" ht="11.4" customHeight="1" x14ac:dyDescent="0.3">
      <c r="A434" s="33"/>
      <c r="B434" s="33"/>
      <c r="C434" s="33"/>
      <c r="D434" s="33"/>
      <c r="E434" s="33"/>
      <c r="F434" s="33"/>
      <c r="G434" s="33"/>
      <c r="H434" s="33"/>
      <c r="I434" s="33"/>
    </row>
    <row r="435" spans="1:9" s="54" customFormat="1" ht="11.4" customHeight="1" x14ac:dyDescent="0.3">
      <c r="A435" s="33"/>
      <c r="B435" s="33"/>
      <c r="C435" s="33"/>
      <c r="D435" s="33"/>
      <c r="E435" s="33"/>
      <c r="F435" s="33"/>
      <c r="G435" s="33"/>
      <c r="H435" s="33"/>
      <c r="I435" s="33"/>
    </row>
    <row r="436" spans="1:9" s="54" customFormat="1" ht="11.4" customHeight="1" x14ac:dyDescent="0.3">
      <c r="A436" s="33"/>
      <c r="B436" s="33"/>
      <c r="C436" s="33"/>
      <c r="D436" s="33"/>
      <c r="E436" s="33"/>
      <c r="F436" s="33"/>
      <c r="G436" s="33"/>
      <c r="H436" s="33"/>
      <c r="I436" s="33"/>
    </row>
    <row r="437" spans="1:9" s="54" customFormat="1" ht="11.4" customHeight="1" x14ac:dyDescent="0.3">
      <c r="A437" s="33"/>
      <c r="B437" s="33"/>
      <c r="C437" s="33"/>
      <c r="D437" s="33"/>
      <c r="E437" s="33"/>
      <c r="F437" s="33"/>
      <c r="G437" s="33"/>
      <c r="H437" s="33"/>
      <c r="I437" s="33"/>
    </row>
    <row r="438" spans="1:9" s="54" customFormat="1" ht="11.4" customHeight="1" x14ac:dyDescent="0.3">
      <c r="A438" s="33"/>
      <c r="B438" s="33"/>
      <c r="C438" s="33"/>
      <c r="D438" s="33"/>
      <c r="E438" s="33"/>
      <c r="F438" s="33"/>
      <c r="G438" s="33"/>
      <c r="H438" s="33"/>
      <c r="I438" s="33"/>
    </row>
    <row r="439" spans="1:9" s="54" customFormat="1" ht="11.4" customHeight="1" x14ac:dyDescent="0.3">
      <c r="A439" s="33"/>
      <c r="B439" s="33"/>
      <c r="C439" s="33"/>
      <c r="D439" s="33"/>
      <c r="E439" s="33"/>
      <c r="F439" s="33"/>
      <c r="G439" s="33"/>
      <c r="H439" s="33"/>
      <c r="I439" s="33"/>
    </row>
    <row r="440" spans="1:9" s="54" customFormat="1" ht="11.4" customHeight="1" x14ac:dyDescent="0.3">
      <c r="A440" s="33"/>
      <c r="B440" s="33"/>
      <c r="C440" s="33"/>
      <c r="D440" s="33"/>
      <c r="E440" s="33"/>
      <c r="F440" s="33"/>
      <c r="G440" s="33"/>
      <c r="H440" s="33"/>
      <c r="I440" s="33"/>
    </row>
    <row r="441" spans="1:9" s="54" customFormat="1" ht="11.4" customHeight="1" x14ac:dyDescent="0.3">
      <c r="A441" s="33"/>
      <c r="B441" s="33"/>
      <c r="C441" s="33"/>
      <c r="D441" s="33"/>
      <c r="E441" s="33"/>
      <c r="F441" s="33"/>
      <c r="G441" s="33"/>
      <c r="H441" s="33"/>
      <c r="I441" s="33"/>
    </row>
    <row r="442" spans="1:9" s="54" customFormat="1" ht="11.4" customHeight="1" x14ac:dyDescent="0.3">
      <c r="A442" s="33"/>
      <c r="B442" s="33"/>
      <c r="C442" s="33"/>
      <c r="D442" s="33"/>
      <c r="E442" s="33"/>
      <c r="F442" s="33"/>
      <c r="G442" s="33"/>
      <c r="H442" s="33"/>
      <c r="I442" s="33"/>
    </row>
    <row r="443" spans="1:9" s="54" customFormat="1" ht="11.4" customHeight="1" x14ac:dyDescent="0.3">
      <c r="A443" s="33"/>
      <c r="B443" s="33"/>
      <c r="C443" s="33"/>
      <c r="D443" s="33"/>
      <c r="E443" s="33"/>
      <c r="F443" s="33"/>
      <c r="G443" s="33"/>
      <c r="H443" s="33"/>
      <c r="I443" s="33"/>
    </row>
    <row r="444" spans="1:9" s="54" customFormat="1" ht="11.4" customHeight="1" x14ac:dyDescent="0.3">
      <c r="A444" s="33"/>
      <c r="B444" s="33"/>
      <c r="C444" s="33"/>
      <c r="D444" s="33"/>
      <c r="E444" s="33"/>
      <c r="F444" s="33"/>
      <c r="G444" s="33"/>
      <c r="H444" s="33"/>
      <c r="I444" s="33"/>
    </row>
    <row r="445" spans="1:9" s="54" customFormat="1" ht="11.4" customHeight="1" x14ac:dyDescent="0.3">
      <c r="A445" s="33"/>
      <c r="B445" s="33"/>
      <c r="C445" s="33"/>
      <c r="D445" s="33"/>
      <c r="E445" s="33"/>
      <c r="F445" s="33"/>
      <c r="G445" s="33"/>
      <c r="H445" s="33"/>
      <c r="I445" s="33"/>
    </row>
    <row r="446" spans="1:9" s="54" customFormat="1" ht="11.4" customHeight="1" x14ac:dyDescent="0.3">
      <c r="A446" s="33"/>
      <c r="B446" s="33"/>
      <c r="C446" s="33"/>
      <c r="D446" s="33"/>
      <c r="E446" s="33"/>
      <c r="F446" s="33"/>
      <c r="G446" s="33"/>
      <c r="H446" s="33"/>
      <c r="I446" s="33"/>
    </row>
    <row r="447" spans="1:9" s="54" customFormat="1" ht="11.4" customHeight="1" x14ac:dyDescent="0.3">
      <c r="A447" s="33"/>
      <c r="B447" s="33"/>
      <c r="C447" s="33"/>
      <c r="D447" s="33"/>
      <c r="E447" s="33"/>
      <c r="F447" s="33"/>
      <c r="G447" s="33"/>
      <c r="H447" s="33"/>
      <c r="I447" s="33"/>
    </row>
    <row r="448" spans="1:9" s="54" customFormat="1" ht="11.4" customHeight="1" x14ac:dyDescent="0.3">
      <c r="A448" s="33"/>
      <c r="B448" s="33"/>
      <c r="C448" s="33"/>
      <c r="D448" s="33"/>
      <c r="E448" s="33"/>
      <c r="F448" s="33"/>
      <c r="G448" s="33"/>
      <c r="H448" s="33"/>
      <c r="I448" s="33"/>
    </row>
    <row r="449" spans="1:9" s="54" customFormat="1" ht="11.4" customHeight="1" x14ac:dyDescent="0.3">
      <c r="A449" s="33"/>
      <c r="B449" s="33"/>
      <c r="C449" s="33"/>
      <c r="D449" s="33"/>
      <c r="E449" s="33"/>
      <c r="F449" s="33"/>
      <c r="G449" s="33"/>
      <c r="H449" s="33"/>
      <c r="I449" s="33"/>
    </row>
    <row r="450" spans="1:9" s="54" customFormat="1" ht="11.4" customHeight="1" x14ac:dyDescent="0.3">
      <c r="A450" s="33"/>
      <c r="B450" s="33"/>
      <c r="C450" s="33"/>
      <c r="D450" s="33"/>
      <c r="E450" s="33"/>
      <c r="F450" s="33"/>
      <c r="G450" s="33"/>
      <c r="H450" s="33"/>
      <c r="I450" s="33"/>
    </row>
    <row r="451" spans="1:9" s="54" customFormat="1" ht="11.4" customHeight="1" x14ac:dyDescent="0.3">
      <c r="A451" s="33"/>
      <c r="B451" s="33"/>
      <c r="C451" s="33"/>
      <c r="D451" s="33"/>
      <c r="E451" s="33"/>
      <c r="F451" s="33"/>
      <c r="G451" s="33"/>
      <c r="H451" s="33"/>
      <c r="I451" s="33"/>
    </row>
    <row r="452" spans="1:9" s="54" customFormat="1" ht="11.4" customHeight="1" x14ac:dyDescent="0.3">
      <c r="A452" s="33"/>
      <c r="B452" s="33"/>
      <c r="C452" s="33"/>
      <c r="D452" s="33"/>
      <c r="E452" s="33"/>
      <c r="F452" s="33"/>
      <c r="G452" s="33"/>
      <c r="H452" s="33"/>
      <c r="I452" s="33"/>
    </row>
    <row r="453" spans="1:9" s="54" customFormat="1" ht="11.4" customHeight="1" x14ac:dyDescent="0.3">
      <c r="A453" s="33"/>
      <c r="B453" s="33"/>
      <c r="C453" s="33"/>
      <c r="D453" s="33"/>
      <c r="E453" s="33"/>
      <c r="F453" s="33"/>
      <c r="G453" s="33"/>
      <c r="H453" s="33"/>
      <c r="I453" s="33"/>
    </row>
    <row r="454" spans="1:9" s="54" customFormat="1" ht="11.4" customHeight="1" x14ac:dyDescent="0.3">
      <c r="A454" s="33"/>
      <c r="B454" s="33"/>
      <c r="C454" s="33"/>
      <c r="D454" s="33"/>
      <c r="E454" s="33"/>
      <c r="F454" s="33"/>
      <c r="G454" s="33"/>
      <c r="H454" s="33"/>
      <c r="I454" s="33"/>
    </row>
    <row r="455" spans="1:9" s="54" customFormat="1" ht="11.4" customHeight="1" x14ac:dyDescent="0.3">
      <c r="A455" s="33"/>
      <c r="B455" s="33"/>
      <c r="C455" s="33"/>
      <c r="D455" s="33"/>
      <c r="E455" s="33"/>
      <c r="F455" s="33"/>
      <c r="G455" s="33"/>
      <c r="H455" s="33"/>
      <c r="I455" s="33"/>
    </row>
    <row r="456" spans="1:9" s="54" customFormat="1" ht="11.4" customHeight="1" x14ac:dyDescent="0.3">
      <c r="A456" s="33"/>
      <c r="B456" s="33"/>
      <c r="C456" s="33"/>
      <c r="D456" s="33"/>
      <c r="E456" s="33"/>
      <c r="F456" s="33"/>
      <c r="G456" s="33"/>
      <c r="H456" s="33"/>
      <c r="I456" s="33"/>
    </row>
    <row r="457" spans="1:9" s="54" customFormat="1" ht="11.4" customHeight="1" x14ac:dyDescent="0.3">
      <c r="A457" s="33"/>
      <c r="B457" s="33"/>
      <c r="C457" s="33"/>
      <c r="D457" s="33"/>
      <c r="E457" s="33"/>
      <c r="F457" s="33"/>
      <c r="G457" s="33"/>
      <c r="H457" s="33"/>
      <c r="I457" s="33"/>
    </row>
    <row r="458" spans="1:9" s="54" customFormat="1" ht="11.4" customHeight="1" x14ac:dyDescent="0.3">
      <c r="A458" s="33"/>
      <c r="B458" s="33"/>
      <c r="C458" s="33"/>
      <c r="D458" s="33"/>
      <c r="E458" s="33"/>
      <c r="F458" s="33"/>
      <c r="G458" s="33"/>
      <c r="H458" s="33"/>
      <c r="I458" s="33"/>
    </row>
    <row r="459" spans="1:9" s="54" customFormat="1" ht="11.4" customHeight="1" x14ac:dyDescent="0.3">
      <c r="A459" s="33"/>
      <c r="B459" s="33"/>
      <c r="C459" s="33"/>
      <c r="D459" s="33"/>
      <c r="E459" s="33"/>
      <c r="F459" s="33"/>
      <c r="G459" s="33"/>
      <c r="H459" s="33"/>
      <c r="I459" s="33"/>
    </row>
    <row r="460" spans="1:9" s="54" customFormat="1" ht="11.4" customHeight="1" x14ac:dyDescent="0.3">
      <c r="A460" s="33"/>
      <c r="B460" s="33"/>
      <c r="C460" s="33"/>
      <c r="D460" s="33"/>
      <c r="E460" s="33"/>
      <c r="F460" s="33"/>
      <c r="G460" s="33"/>
      <c r="H460" s="33"/>
      <c r="I460" s="33"/>
    </row>
    <row r="461" spans="1:9" s="54" customFormat="1" ht="11.4" customHeight="1" x14ac:dyDescent="0.3">
      <c r="A461" s="33"/>
      <c r="B461" s="33"/>
      <c r="C461" s="33"/>
      <c r="D461" s="33"/>
      <c r="E461" s="33"/>
      <c r="F461" s="33"/>
      <c r="G461" s="33"/>
      <c r="H461" s="33"/>
      <c r="I461" s="33"/>
    </row>
    <row r="462" spans="1:9" s="54" customFormat="1" ht="11.4" customHeight="1" x14ac:dyDescent="0.3">
      <c r="A462" s="33"/>
      <c r="B462" s="33"/>
      <c r="C462" s="33"/>
      <c r="D462" s="33"/>
      <c r="E462" s="33"/>
      <c r="F462" s="33"/>
      <c r="G462" s="33"/>
      <c r="H462" s="33"/>
      <c r="I462" s="33"/>
    </row>
    <row r="463" spans="1:9" s="54" customFormat="1" ht="11.4" customHeight="1" x14ac:dyDescent="0.3">
      <c r="A463" s="33"/>
      <c r="B463" s="33"/>
      <c r="C463" s="33"/>
      <c r="D463" s="33"/>
      <c r="E463" s="33"/>
      <c r="F463" s="33"/>
      <c r="G463" s="33"/>
      <c r="H463" s="33"/>
      <c r="I463" s="33"/>
    </row>
    <row r="464" spans="1:9" s="54" customFormat="1" ht="11.4" customHeight="1" x14ac:dyDescent="0.3">
      <c r="A464" s="33"/>
      <c r="B464" s="33"/>
      <c r="C464" s="33"/>
      <c r="D464" s="33"/>
      <c r="E464" s="33"/>
      <c r="F464" s="33"/>
      <c r="G464" s="33"/>
      <c r="H464" s="33"/>
      <c r="I464" s="33"/>
    </row>
    <row r="465" spans="1:9" s="54" customFormat="1" ht="11.4" customHeight="1" x14ac:dyDescent="0.3">
      <c r="A465" s="33"/>
      <c r="B465" s="33"/>
      <c r="C465" s="33"/>
      <c r="D465" s="33"/>
      <c r="E465" s="33"/>
      <c r="F465" s="33"/>
      <c r="G465" s="33"/>
      <c r="H465" s="33"/>
      <c r="I465" s="33"/>
    </row>
    <row r="466" spans="1:9" s="54" customFormat="1" ht="11.4" customHeight="1" x14ac:dyDescent="0.3">
      <c r="A466" s="33"/>
      <c r="B466" s="33"/>
      <c r="C466" s="33"/>
      <c r="D466" s="33"/>
      <c r="E466" s="33"/>
      <c r="F466" s="33"/>
      <c r="G466" s="33"/>
      <c r="H466" s="33"/>
      <c r="I466" s="33"/>
    </row>
    <row r="467" spans="1:9" s="54" customFormat="1" ht="11.4" customHeight="1" x14ac:dyDescent="0.3">
      <c r="A467" s="33"/>
      <c r="B467" s="33"/>
      <c r="C467" s="33"/>
      <c r="D467" s="33"/>
      <c r="E467" s="33"/>
      <c r="F467" s="33"/>
      <c r="G467" s="33"/>
      <c r="H467" s="33"/>
      <c r="I467" s="33"/>
    </row>
    <row r="468" spans="1:9" s="54" customFormat="1" ht="11.4" customHeight="1" x14ac:dyDescent="0.3">
      <c r="A468" s="33"/>
      <c r="B468" s="33"/>
      <c r="C468" s="33"/>
      <c r="D468" s="33"/>
      <c r="E468" s="33"/>
      <c r="F468" s="33"/>
      <c r="G468" s="33"/>
      <c r="H468" s="33"/>
      <c r="I468" s="33"/>
    </row>
    <row r="469" spans="1:9" s="54" customFormat="1" ht="11.4" customHeight="1" x14ac:dyDescent="0.3">
      <c r="A469" s="33"/>
      <c r="B469" s="33"/>
      <c r="C469" s="33"/>
      <c r="D469" s="33"/>
      <c r="E469" s="33"/>
      <c r="F469" s="33"/>
      <c r="G469" s="33"/>
      <c r="H469" s="33"/>
      <c r="I469" s="33"/>
    </row>
    <row r="470" spans="1:9" s="54" customFormat="1" ht="11.4" customHeight="1" x14ac:dyDescent="0.3">
      <c r="A470" s="33"/>
      <c r="B470" s="33"/>
      <c r="C470" s="33"/>
      <c r="D470" s="33"/>
      <c r="E470" s="33"/>
      <c r="F470" s="33"/>
      <c r="G470" s="33"/>
      <c r="H470" s="33"/>
      <c r="I470" s="33"/>
    </row>
    <row r="471" spans="1:9" s="54" customFormat="1" ht="11.4" customHeight="1" x14ac:dyDescent="0.3">
      <c r="A471" s="33"/>
      <c r="B471" s="33"/>
      <c r="C471" s="33"/>
      <c r="D471" s="33"/>
      <c r="E471" s="33"/>
      <c r="F471" s="33"/>
      <c r="G471" s="33"/>
      <c r="H471" s="33"/>
      <c r="I471" s="33"/>
    </row>
    <row r="472" spans="1:9" s="54" customFormat="1" ht="11.4" customHeight="1" x14ac:dyDescent="0.3">
      <c r="A472" s="33"/>
      <c r="B472" s="33"/>
      <c r="C472" s="33"/>
      <c r="D472" s="33"/>
      <c r="E472" s="33"/>
      <c r="F472" s="33"/>
      <c r="G472" s="33"/>
      <c r="H472" s="33"/>
      <c r="I472" s="33"/>
    </row>
    <row r="473" spans="1:9" s="54" customFormat="1" ht="11.4" customHeight="1" x14ac:dyDescent="0.3">
      <c r="A473" s="33"/>
      <c r="B473" s="33"/>
      <c r="C473" s="33"/>
      <c r="D473" s="33"/>
      <c r="E473" s="33"/>
      <c r="F473" s="33"/>
      <c r="G473" s="33"/>
      <c r="H473" s="33"/>
      <c r="I473" s="33"/>
    </row>
    <row r="474" spans="1:9" s="54" customFormat="1" ht="11.4" customHeight="1" x14ac:dyDescent="0.3">
      <c r="A474" s="33"/>
      <c r="B474" s="33"/>
      <c r="C474" s="33"/>
      <c r="D474" s="33"/>
      <c r="E474" s="33"/>
      <c r="F474" s="33"/>
      <c r="G474" s="33"/>
      <c r="H474" s="33"/>
      <c r="I474" s="33"/>
    </row>
    <row r="475" spans="1:9" s="54" customFormat="1" ht="11.4" customHeight="1" x14ac:dyDescent="0.3">
      <c r="A475" s="33"/>
      <c r="B475" s="33"/>
      <c r="C475" s="33"/>
      <c r="D475" s="33"/>
      <c r="E475" s="33"/>
      <c r="F475" s="33"/>
      <c r="G475" s="33"/>
      <c r="H475" s="33"/>
      <c r="I475" s="33"/>
    </row>
    <row r="476" spans="1:9" s="54" customFormat="1" ht="11.4" customHeight="1" x14ac:dyDescent="0.3">
      <c r="A476" s="33"/>
      <c r="B476" s="33"/>
      <c r="C476" s="33"/>
      <c r="D476" s="33"/>
      <c r="E476" s="33"/>
      <c r="F476" s="33"/>
      <c r="G476" s="33"/>
      <c r="H476" s="33"/>
      <c r="I476" s="33"/>
    </row>
    <row r="477" spans="1:9" s="54" customFormat="1" ht="11.4" customHeight="1" x14ac:dyDescent="0.3">
      <c r="A477" s="33"/>
      <c r="B477" s="33"/>
      <c r="C477" s="33"/>
      <c r="D477" s="33"/>
      <c r="E477" s="33"/>
      <c r="F477" s="33"/>
      <c r="G477" s="33"/>
      <c r="H477" s="33"/>
      <c r="I477" s="33"/>
    </row>
    <row r="478" spans="1:9" s="54" customFormat="1" ht="11.4" customHeight="1" x14ac:dyDescent="0.3">
      <c r="A478" s="33"/>
      <c r="B478" s="33"/>
      <c r="C478" s="33"/>
      <c r="D478" s="33"/>
      <c r="E478" s="33"/>
      <c r="F478" s="33"/>
      <c r="G478" s="33"/>
      <c r="H478" s="33"/>
      <c r="I478" s="33"/>
    </row>
    <row r="479" spans="1:9" s="54" customFormat="1" ht="11.4" customHeight="1" x14ac:dyDescent="0.3">
      <c r="A479" s="33"/>
      <c r="B479" s="33"/>
      <c r="C479" s="33"/>
      <c r="D479" s="33"/>
      <c r="E479" s="33"/>
      <c r="F479" s="33"/>
      <c r="G479" s="33"/>
      <c r="H479" s="33"/>
      <c r="I479" s="33"/>
    </row>
    <row r="480" spans="1:9" s="54" customFormat="1" ht="11.4" customHeight="1" x14ac:dyDescent="0.3">
      <c r="A480" s="33"/>
      <c r="B480" s="33"/>
      <c r="C480" s="33"/>
      <c r="D480" s="33"/>
      <c r="E480" s="33"/>
      <c r="F480" s="33"/>
      <c r="G480" s="33"/>
      <c r="H480" s="33"/>
      <c r="I480" s="33"/>
    </row>
    <row r="481" spans="1:9" s="54" customFormat="1" ht="11.4" customHeight="1" x14ac:dyDescent="0.3">
      <c r="A481" s="33"/>
      <c r="B481" s="33"/>
      <c r="C481" s="33"/>
      <c r="D481" s="33"/>
      <c r="E481" s="33"/>
      <c r="F481" s="33"/>
      <c r="G481" s="33"/>
      <c r="H481" s="33"/>
      <c r="I481" s="33"/>
    </row>
    <row r="482" spans="1:9" s="54" customFormat="1" ht="11.4" customHeight="1" x14ac:dyDescent="0.3">
      <c r="A482" s="33"/>
      <c r="B482" s="33"/>
      <c r="C482" s="33"/>
      <c r="D482" s="33"/>
      <c r="E482" s="33"/>
      <c r="F482" s="33"/>
      <c r="G482" s="33"/>
      <c r="H482" s="33"/>
      <c r="I482" s="33"/>
    </row>
    <row r="483" spans="1:9" s="54" customFormat="1" ht="11.4" customHeight="1" x14ac:dyDescent="0.3">
      <c r="A483" s="33"/>
      <c r="B483" s="33"/>
      <c r="C483" s="33"/>
      <c r="D483" s="33"/>
      <c r="E483" s="33"/>
      <c r="F483" s="33"/>
      <c r="G483" s="33"/>
      <c r="H483" s="33"/>
      <c r="I483" s="33"/>
    </row>
    <row r="484" spans="1:9" s="54" customFormat="1" ht="11.4" customHeight="1" x14ac:dyDescent="0.3">
      <c r="A484" s="33"/>
      <c r="B484" s="33"/>
      <c r="C484" s="33"/>
      <c r="D484" s="33"/>
      <c r="E484" s="33"/>
      <c r="F484" s="33"/>
      <c r="G484" s="33"/>
      <c r="H484" s="33"/>
      <c r="I484" s="33"/>
    </row>
    <row r="485" spans="1:9" s="54" customFormat="1" ht="11.4" customHeight="1" x14ac:dyDescent="0.3">
      <c r="A485" s="33"/>
      <c r="B485" s="33"/>
      <c r="C485" s="33"/>
      <c r="D485" s="33"/>
      <c r="E485" s="33"/>
      <c r="F485" s="33"/>
      <c r="G485" s="33"/>
      <c r="H485" s="33"/>
      <c r="I485" s="33"/>
    </row>
    <row r="486" spans="1:9" s="54" customFormat="1" ht="11.4" customHeight="1" x14ac:dyDescent="0.3">
      <c r="A486" s="33"/>
      <c r="B486" s="33"/>
      <c r="C486" s="33"/>
      <c r="D486" s="33"/>
      <c r="E486" s="33"/>
      <c r="F486" s="33"/>
      <c r="G486" s="33"/>
      <c r="H486" s="33"/>
      <c r="I486" s="33"/>
    </row>
    <row r="487" spans="1:9" s="54" customFormat="1" ht="11.4" customHeight="1" x14ac:dyDescent="0.3">
      <c r="A487" s="33"/>
      <c r="B487" s="33"/>
      <c r="C487" s="33"/>
      <c r="D487" s="33"/>
      <c r="E487" s="33"/>
      <c r="F487" s="33"/>
      <c r="G487" s="33"/>
      <c r="H487" s="33"/>
      <c r="I487" s="33"/>
    </row>
    <row r="488" spans="1:9" s="54" customFormat="1" ht="11.4" customHeight="1" x14ac:dyDescent="0.3">
      <c r="A488" s="33"/>
      <c r="B488" s="33"/>
      <c r="C488" s="33"/>
      <c r="D488" s="33"/>
      <c r="E488" s="33"/>
      <c r="F488" s="33"/>
      <c r="G488" s="33"/>
      <c r="H488" s="33"/>
      <c r="I488" s="33"/>
    </row>
    <row r="489" spans="1:9" s="54" customFormat="1" ht="11.4" customHeight="1" x14ac:dyDescent="0.3">
      <c r="A489" s="33"/>
      <c r="B489" s="33"/>
      <c r="C489" s="33"/>
      <c r="D489" s="33"/>
      <c r="E489" s="33"/>
      <c r="F489" s="33"/>
      <c r="G489" s="33"/>
      <c r="H489" s="33"/>
      <c r="I489" s="33"/>
    </row>
    <row r="490" spans="1:9" s="54" customFormat="1" ht="11.4" customHeight="1" x14ac:dyDescent="0.3">
      <c r="A490" s="33"/>
      <c r="B490" s="33"/>
      <c r="C490" s="33"/>
      <c r="D490" s="33"/>
      <c r="E490" s="33"/>
      <c r="F490" s="33"/>
      <c r="G490" s="33"/>
      <c r="H490" s="33"/>
      <c r="I490" s="33"/>
    </row>
    <row r="491" spans="1:9" s="54" customFormat="1" ht="11.4" customHeight="1" x14ac:dyDescent="0.3">
      <c r="A491" s="33"/>
      <c r="B491" s="33"/>
      <c r="C491" s="33"/>
      <c r="D491" s="33"/>
      <c r="E491" s="33"/>
      <c r="F491" s="33"/>
      <c r="G491" s="33"/>
      <c r="H491" s="33"/>
      <c r="I491" s="33"/>
    </row>
    <row r="492" spans="1:9" s="54" customFormat="1" ht="11.4" customHeight="1" x14ac:dyDescent="0.3">
      <c r="A492" s="33"/>
      <c r="B492" s="33"/>
      <c r="C492" s="33"/>
      <c r="D492" s="33"/>
      <c r="E492" s="33"/>
      <c r="F492" s="33"/>
      <c r="G492" s="33"/>
      <c r="H492" s="33"/>
      <c r="I492" s="33"/>
    </row>
    <row r="493" spans="1:9" s="54" customFormat="1" ht="11.4" customHeight="1" x14ac:dyDescent="0.3">
      <c r="A493" s="33"/>
      <c r="B493" s="33"/>
      <c r="C493" s="33"/>
      <c r="D493" s="33"/>
      <c r="E493" s="33"/>
      <c r="F493" s="33"/>
      <c r="G493" s="33"/>
      <c r="H493" s="33"/>
      <c r="I493" s="33"/>
    </row>
    <row r="494" spans="1:9" s="54" customFormat="1" ht="11.4" customHeight="1" x14ac:dyDescent="0.3">
      <c r="A494" s="33"/>
      <c r="B494" s="33"/>
      <c r="C494" s="33"/>
      <c r="D494" s="33"/>
      <c r="E494" s="33"/>
      <c r="F494" s="33"/>
      <c r="G494" s="33"/>
      <c r="H494" s="33"/>
      <c r="I494" s="33"/>
    </row>
    <row r="495" spans="1:9" s="54" customFormat="1" ht="11.4" customHeight="1" x14ac:dyDescent="0.3">
      <c r="A495" s="33"/>
      <c r="B495" s="33"/>
      <c r="C495" s="33"/>
      <c r="D495" s="33"/>
      <c r="E495" s="33"/>
      <c r="F495" s="33"/>
      <c r="G495" s="33"/>
      <c r="H495" s="33"/>
      <c r="I495" s="33"/>
    </row>
    <row r="496" spans="1:9" s="54" customFormat="1" ht="11.4" customHeight="1" x14ac:dyDescent="0.3">
      <c r="A496" s="33"/>
      <c r="B496" s="33"/>
      <c r="C496" s="33"/>
      <c r="D496" s="33"/>
      <c r="E496" s="33"/>
      <c r="F496" s="33"/>
      <c r="G496" s="33"/>
      <c r="H496" s="33"/>
      <c r="I496" s="33"/>
    </row>
    <row r="497" spans="1:9" s="54" customFormat="1" ht="11.4" customHeight="1" x14ac:dyDescent="0.3">
      <c r="A497" s="33"/>
      <c r="B497" s="33"/>
      <c r="C497" s="33"/>
      <c r="D497" s="33"/>
      <c r="E497" s="33"/>
      <c r="F497" s="33"/>
      <c r="G497" s="33"/>
      <c r="H497" s="33"/>
      <c r="I497" s="33"/>
    </row>
    <row r="498" spans="1:9" s="54" customFormat="1" ht="11.4" customHeight="1" x14ac:dyDescent="0.3">
      <c r="A498" s="33"/>
      <c r="B498" s="33"/>
      <c r="C498" s="33"/>
      <c r="D498" s="33"/>
      <c r="E498" s="33"/>
      <c r="F498" s="33"/>
      <c r="G498" s="33"/>
      <c r="H498" s="33"/>
      <c r="I498" s="33"/>
    </row>
    <row r="499" spans="1:9" s="54" customFormat="1" ht="11.4" customHeight="1" x14ac:dyDescent="0.3">
      <c r="A499" s="33"/>
      <c r="B499" s="33"/>
      <c r="C499" s="33"/>
      <c r="D499" s="33"/>
      <c r="E499" s="33"/>
      <c r="F499" s="33"/>
      <c r="G499" s="33"/>
      <c r="H499" s="33"/>
      <c r="I499" s="33"/>
    </row>
    <row r="500" spans="1:9" s="54" customFormat="1" ht="11.4" customHeight="1" x14ac:dyDescent="0.3">
      <c r="A500" s="33"/>
      <c r="B500" s="33"/>
      <c r="C500" s="33"/>
      <c r="D500" s="33"/>
      <c r="E500" s="33"/>
      <c r="F500" s="33"/>
      <c r="G500" s="33"/>
      <c r="H500" s="33"/>
      <c r="I500" s="33"/>
    </row>
    <row r="501" spans="1:9" s="54" customFormat="1" ht="11.4" customHeight="1" x14ac:dyDescent="0.3">
      <c r="A501" s="33"/>
      <c r="B501" s="33"/>
      <c r="C501" s="33"/>
      <c r="D501" s="33"/>
      <c r="E501" s="33"/>
      <c r="F501" s="33"/>
      <c r="G501" s="33"/>
      <c r="H501" s="33"/>
      <c r="I501" s="33"/>
    </row>
    <row r="502" spans="1:9" s="54" customFormat="1" ht="11.4" customHeight="1" x14ac:dyDescent="0.3">
      <c r="A502" s="33"/>
      <c r="B502" s="33"/>
      <c r="C502" s="33"/>
      <c r="D502" s="33"/>
      <c r="E502" s="33"/>
      <c r="F502" s="33"/>
      <c r="G502" s="33"/>
      <c r="H502" s="33"/>
      <c r="I502" s="33"/>
    </row>
    <row r="503" spans="1:9" s="54" customFormat="1" ht="11.4" customHeight="1" x14ac:dyDescent="0.3">
      <c r="A503" s="33"/>
      <c r="B503" s="33"/>
      <c r="C503" s="33"/>
      <c r="D503" s="33"/>
      <c r="E503" s="33"/>
      <c r="F503" s="33"/>
      <c r="G503" s="33"/>
      <c r="H503" s="33"/>
      <c r="I503" s="33"/>
    </row>
    <row r="504" spans="1:9" s="54" customFormat="1" ht="11.4" customHeight="1" x14ac:dyDescent="0.3">
      <c r="A504" s="33"/>
      <c r="B504" s="33"/>
      <c r="C504" s="33"/>
      <c r="D504" s="33"/>
      <c r="E504" s="33"/>
      <c r="F504" s="33"/>
      <c r="G504" s="33"/>
      <c r="H504" s="33"/>
      <c r="I504" s="33"/>
    </row>
    <row r="505" spans="1:9" s="54" customFormat="1" ht="11.4" customHeight="1" x14ac:dyDescent="0.3">
      <c r="A505" s="33"/>
      <c r="B505" s="33"/>
      <c r="C505" s="33"/>
      <c r="D505" s="33"/>
      <c r="E505" s="33"/>
      <c r="F505" s="33"/>
      <c r="G505" s="33"/>
      <c r="H505" s="33"/>
      <c r="I505" s="33"/>
    </row>
    <row r="506" spans="1:9" s="54" customFormat="1" ht="11.4" customHeight="1" x14ac:dyDescent="0.3">
      <c r="A506" s="33"/>
      <c r="B506" s="33"/>
      <c r="C506" s="33"/>
      <c r="D506" s="33"/>
      <c r="E506" s="33"/>
      <c r="F506" s="33"/>
      <c r="G506" s="33"/>
      <c r="H506" s="33"/>
      <c r="I506" s="33"/>
    </row>
    <row r="507" spans="1:9" s="54" customFormat="1" ht="11.4" customHeight="1" x14ac:dyDescent="0.3">
      <c r="A507" s="33"/>
      <c r="B507" s="33"/>
      <c r="C507" s="33"/>
      <c r="D507" s="33"/>
      <c r="E507" s="33"/>
      <c r="F507" s="33"/>
      <c r="G507" s="33"/>
      <c r="H507" s="33"/>
      <c r="I507" s="33"/>
    </row>
    <row r="508" spans="1:9" s="54" customFormat="1" ht="11.4" customHeight="1" x14ac:dyDescent="0.3">
      <c r="A508" s="33"/>
      <c r="B508" s="33"/>
      <c r="C508" s="33"/>
      <c r="D508" s="33"/>
      <c r="E508" s="33"/>
      <c r="F508" s="33"/>
      <c r="G508" s="33"/>
      <c r="H508" s="33"/>
      <c r="I508" s="33"/>
    </row>
    <row r="509" spans="1:9" s="54" customFormat="1" ht="11.4" customHeight="1" x14ac:dyDescent="0.3">
      <c r="A509" s="33"/>
      <c r="B509" s="33"/>
      <c r="C509" s="33"/>
      <c r="D509" s="33"/>
      <c r="E509" s="33"/>
      <c r="F509" s="33"/>
      <c r="G509" s="33"/>
      <c r="H509" s="33"/>
      <c r="I509" s="33"/>
    </row>
    <row r="510" spans="1:9" s="54" customFormat="1" ht="11.4" customHeight="1" x14ac:dyDescent="0.3">
      <c r="A510" s="33"/>
      <c r="B510" s="33"/>
      <c r="C510" s="33"/>
      <c r="D510" s="33"/>
      <c r="E510" s="33"/>
      <c r="F510" s="33"/>
      <c r="G510" s="33"/>
      <c r="H510" s="33"/>
      <c r="I510" s="33"/>
    </row>
    <row r="511" spans="1:9" s="54" customFormat="1" ht="11.4" customHeight="1" x14ac:dyDescent="0.3">
      <c r="A511" s="33"/>
      <c r="B511" s="33"/>
      <c r="C511" s="33"/>
      <c r="D511" s="33"/>
      <c r="E511" s="33"/>
      <c r="F511" s="33"/>
      <c r="G511" s="33"/>
      <c r="H511" s="33"/>
      <c r="I511" s="33"/>
    </row>
    <row r="512" spans="1:9" s="54" customFormat="1" ht="11.4" customHeight="1" x14ac:dyDescent="0.3">
      <c r="A512" s="33"/>
      <c r="B512" s="33"/>
      <c r="C512" s="33"/>
      <c r="D512" s="33"/>
      <c r="E512" s="33"/>
      <c r="F512" s="33"/>
      <c r="G512" s="33"/>
      <c r="H512" s="33"/>
      <c r="I512" s="33"/>
    </row>
    <row r="513" spans="1:9" s="54" customFormat="1" ht="11.4" customHeight="1" x14ac:dyDescent="0.3">
      <c r="A513" s="33"/>
      <c r="B513" s="33"/>
      <c r="C513" s="33"/>
      <c r="D513" s="33"/>
      <c r="E513" s="33"/>
      <c r="F513" s="33"/>
      <c r="G513" s="33"/>
      <c r="H513" s="33"/>
      <c r="I513" s="33"/>
    </row>
    <row r="514" spans="1:9" s="54" customFormat="1" ht="11.4" customHeight="1" x14ac:dyDescent="0.3">
      <c r="A514" s="33"/>
      <c r="B514" s="33"/>
      <c r="C514" s="33"/>
      <c r="D514" s="33"/>
      <c r="E514" s="33"/>
      <c r="F514" s="33"/>
      <c r="G514" s="33"/>
      <c r="H514" s="33"/>
      <c r="I514" s="33"/>
    </row>
    <row r="515" spans="1:9" s="54" customFormat="1" ht="11.4" customHeight="1" x14ac:dyDescent="0.3">
      <c r="A515" s="33"/>
      <c r="B515" s="33"/>
      <c r="C515" s="33"/>
      <c r="D515" s="33"/>
      <c r="E515" s="33"/>
      <c r="F515" s="33"/>
      <c r="G515" s="33"/>
      <c r="H515" s="33"/>
      <c r="I515" s="33"/>
    </row>
    <row r="516" spans="1:9" s="54" customFormat="1" ht="11.4" customHeight="1" x14ac:dyDescent="0.3">
      <c r="A516" s="33"/>
      <c r="B516" s="33"/>
      <c r="C516" s="33"/>
      <c r="D516" s="33"/>
      <c r="E516" s="33"/>
      <c r="F516" s="33"/>
      <c r="G516" s="33"/>
      <c r="H516" s="33"/>
      <c r="I516" s="33"/>
    </row>
    <row r="517" spans="1:9" s="54" customFormat="1" ht="11.4" customHeight="1" x14ac:dyDescent="0.3">
      <c r="A517" s="33"/>
      <c r="B517" s="33"/>
      <c r="C517" s="33"/>
      <c r="D517" s="33"/>
      <c r="E517" s="33"/>
      <c r="F517" s="33"/>
      <c r="G517" s="33"/>
      <c r="H517" s="33"/>
      <c r="I517" s="33"/>
    </row>
    <row r="518" spans="1:9" s="54" customFormat="1" ht="11.4" customHeight="1" x14ac:dyDescent="0.3">
      <c r="A518" s="33"/>
      <c r="B518" s="33"/>
      <c r="C518" s="33"/>
      <c r="D518" s="33"/>
      <c r="E518" s="33"/>
      <c r="F518" s="33"/>
      <c r="G518" s="33"/>
      <c r="H518" s="33"/>
      <c r="I518" s="33"/>
    </row>
    <row r="519" spans="1:9" s="54" customFormat="1" ht="11.4" customHeight="1" x14ac:dyDescent="0.3">
      <c r="A519" s="33"/>
      <c r="B519" s="33"/>
      <c r="C519" s="33"/>
      <c r="D519" s="33"/>
      <c r="E519" s="33"/>
      <c r="F519" s="33"/>
      <c r="G519" s="33"/>
      <c r="H519" s="33"/>
      <c r="I519" s="33"/>
    </row>
    <row r="520" spans="1:9" s="54" customFormat="1" ht="11.4" customHeight="1" x14ac:dyDescent="0.3">
      <c r="A520" s="33"/>
      <c r="B520" s="33"/>
      <c r="C520" s="33"/>
      <c r="D520" s="33"/>
      <c r="E520" s="33"/>
      <c r="F520" s="33"/>
      <c r="G520" s="33"/>
      <c r="H520" s="33"/>
      <c r="I520" s="33"/>
    </row>
    <row r="521" spans="1:9" s="54" customFormat="1" ht="11.4" customHeight="1" x14ac:dyDescent="0.3">
      <c r="A521" s="33"/>
      <c r="B521" s="33"/>
      <c r="C521" s="33"/>
      <c r="D521" s="33"/>
      <c r="E521" s="33"/>
      <c r="F521" s="33"/>
      <c r="G521" s="33"/>
      <c r="H521" s="33"/>
      <c r="I521" s="33"/>
    </row>
    <row r="522" spans="1:9" s="54" customFormat="1" ht="11.4" customHeight="1" x14ac:dyDescent="0.3">
      <c r="A522" s="33"/>
      <c r="B522" s="33"/>
      <c r="C522" s="33"/>
      <c r="D522" s="33"/>
      <c r="E522" s="33"/>
      <c r="F522" s="33"/>
      <c r="G522" s="33"/>
      <c r="H522" s="33"/>
      <c r="I522" s="33"/>
    </row>
    <row r="523" spans="1:9" s="54" customFormat="1" ht="11.4" customHeight="1" x14ac:dyDescent="0.3">
      <c r="A523" s="33"/>
      <c r="B523" s="33"/>
      <c r="C523" s="33"/>
      <c r="D523" s="33"/>
      <c r="E523" s="33"/>
      <c r="F523" s="33"/>
      <c r="G523" s="33"/>
      <c r="H523" s="33"/>
      <c r="I523" s="33"/>
    </row>
    <row r="524" spans="1:9" s="54" customFormat="1" ht="11.4" customHeight="1" x14ac:dyDescent="0.3">
      <c r="A524" s="33"/>
      <c r="B524" s="33"/>
      <c r="C524" s="33"/>
      <c r="D524" s="33"/>
      <c r="E524" s="33"/>
      <c r="F524" s="33"/>
      <c r="G524" s="33"/>
      <c r="H524" s="33"/>
      <c r="I524" s="33"/>
    </row>
    <row r="525" spans="1:9" s="54" customFormat="1" ht="11.4" customHeight="1" x14ac:dyDescent="0.3">
      <c r="A525" s="33"/>
      <c r="B525" s="33"/>
      <c r="C525" s="33"/>
      <c r="D525" s="33"/>
      <c r="E525" s="33"/>
      <c r="F525" s="33"/>
      <c r="G525" s="33"/>
      <c r="H525" s="33"/>
      <c r="I525" s="33"/>
    </row>
    <row r="526" spans="1:9" s="54" customFormat="1" ht="11.4" customHeight="1" x14ac:dyDescent="0.3">
      <c r="A526" s="33"/>
      <c r="B526" s="33"/>
      <c r="C526" s="33"/>
      <c r="D526" s="33"/>
      <c r="E526" s="33"/>
      <c r="F526" s="33"/>
      <c r="G526" s="33"/>
      <c r="H526" s="33"/>
      <c r="I526" s="33"/>
    </row>
    <row r="527" spans="1:9" s="54" customFormat="1" ht="11.4" customHeight="1" x14ac:dyDescent="0.3">
      <c r="A527" s="33"/>
      <c r="B527" s="33"/>
      <c r="C527" s="33"/>
      <c r="D527" s="33"/>
      <c r="E527" s="33"/>
      <c r="F527" s="33"/>
      <c r="G527" s="33"/>
      <c r="H527" s="33"/>
      <c r="I527" s="33"/>
    </row>
    <row r="528" spans="1:9" s="54" customFormat="1" ht="11.4" customHeight="1" x14ac:dyDescent="0.3">
      <c r="A528" s="33"/>
      <c r="B528" s="33"/>
      <c r="C528" s="33"/>
      <c r="D528" s="33"/>
      <c r="E528" s="33"/>
      <c r="F528" s="33"/>
      <c r="G528" s="33"/>
      <c r="H528" s="33"/>
      <c r="I528" s="33"/>
    </row>
    <row r="529" spans="1:9" s="54" customFormat="1" ht="11.4" customHeight="1" x14ac:dyDescent="0.3">
      <c r="A529" s="33"/>
      <c r="B529" s="33"/>
      <c r="C529" s="33"/>
      <c r="D529" s="33"/>
      <c r="E529" s="33"/>
      <c r="F529" s="33"/>
      <c r="G529" s="33"/>
      <c r="H529" s="33"/>
      <c r="I529" s="33"/>
    </row>
    <row r="530" spans="1:9" s="54" customFormat="1" ht="11.4" customHeight="1" x14ac:dyDescent="0.3">
      <c r="A530" s="33"/>
      <c r="B530" s="33"/>
      <c r="C530" s="33"/>
      <c r="D530" s="33"/>
      <c r="E530" s="33"/>
      <c r="F530" s="33"/>
      <c r="G530" s="33"/>
      <c r="H530" s="33"/>
      <c r="I530" s="33"/>
    </row>
    <row r="531" spans="1:9" s="54" customFormat="1" ht="11.4" customHeight="1" x14ac:dyDescent="0.3">
      <c r="A531" s="33"/>
      <c r="B531" s="33"/>
      <c r="C531" s="33"/>
      <c r="D531" s="33"/>
      <c r="E531" s="33"/>
      <c r="F531" s="33"/>
      <c r="G531" s="33"/>
      <c r="H531" s="33"/>
      <c r="I531" s="33"/>
    </row>
    <row r="532" spans="1:9" s="54" customFormat="1" ht="11.4" customHeight="1" x14ac:dyDescent="0.3">
      <c r="A532" s="33"/>
      <c r="B532" s="33"/>
      <c r="C532" s="33"/>
      <c r="D532" s="33"/>
      <c r="E532" s="33"/>
      <c r="F532" s="33"/>
      <c r="G532" s="33"/>
      <c r="H532" s="33"/>
      <c r="I532" s="33"/>
    </row>
    <row r="533" spans="1:9" s="54" customFormat="1" ht="11.4" customHeight="1" x14ac:dyDescent="0.3">
      <c r="A533" s="33"/>
      <c r="B533" s="33"/>
      <c r="C533" s="33"/>
      <c r="D533" s="33"/>
      <c r="E533" s="33"/>
      <c r="F533" s="33"/>
      <c r="G533" s="33"/>
      <c r="H533" s="33"/>
      <c r="I533" s="33"/>
    </row>
    <row r="534" spans="1:9" s="54" customFormat="1" ht="11.4" customHeight="1" x14ac:dyDescent="0.3">
      <c r="A534" s="33"/>
      <c r="B534" s="33"/>
      <c r="C534" s="33"/>
      <c r="D534" s="33"/>
      <c r="E534" s="33"/>
      <c r="F534" s="33"/>
      <c r="G534" s="33"/>
      <c r="H534" s="33"/>
      <c r="I534" s="33"/>
    </row>
    <row r="535" spans="1:9" s="54" customFormat="1" ht="11.4" customHeight="1" x14ac:dyDescent="0.3">
      <c r="A535" s="33"/>
      <c r="B535" s="33"/>
      <c r="C535" s="33"/>
      <c r="D535" s="33"/>
      <c r="E535" s="33"/>
      <c r="F535" s="33"/>
      <c r="G535" s="33"/>
      <c r="H535" s="33"/>
      <c r="I535" s="33"/>
    </row>
    <row r="536" spans="1:9" s="54" customFormat="1" ht="11.4" customHeight="1" x14ac:dyDescent="0.3">
      <c r="A536" s="33"/>
      <c r="B536" s="33"/>
      <c r="C536" s="33"/>
      <c r="D536" s="33"/>
      <c r="E536" s="33"/>
      <c r="F536" s="33"/>
      <c r="G536" s="33"/>
      <c r="H536" s="33"/>
      <c r="I536" s="33"/>
    </row>
    <row r="537" spans="1:9" s="54" customFormat="1" ht="11.4" customHeight="1" x14ac:dyDescent="0.3">
      <c r="A537" s="33"/>
      <c r="B537" s="33"/>
      <c r="C537" s="33"/>
      <c r="D537" s="33"/>
      <c r="E537" s="33"/>
      <c r="F537" s="33"/>
      <c r="G537" s="33"/>
      <c r="H537" s="33"/>
      <c r="I537" s="33"/>
    </row>
    <row r="538" spans="1:9" s="54" customFormat="1" ht="11.4" customHeight="1" x14ac:dyDescent="0.3">
      <c r="A538" s="33"/>
      <c r="B538" s="33"/>
      <c r="C538" s="33"/>
      <c r="D538" s="33"/>
      <c r="E538" s="33"/>
      <c r="F538" s="33"/>
      <c r="G538" s="33"/>
      <c r="H538" s="33"/>
      <c r="I538" s="33"/>
    </row>
    <row r="539" spans="1:9" s="54" customFormat="1" ht="11.4" customHeight="1" x14ac:dyDescent="0.3">
      <c r="A539" s="33"/>
      <c r="B539" s="33"/>
      <c r="C539" s="33"/>
      <c r="D539" s="33"/>
      <c r="E539" s="33"/>
      <c r="F539" s="33"/>
      <c r="G539" s="33"/>
      <c r="H539" s="33"/>
      <c r="I539" s="33"/>
    </row>
    <row r="540" spans="1:9" s="54" customFormat="1" ht="11.4" customHeight="1" x14ac:dyDescent="0.3">
      <c r="A540" s="33"/>
      <c r="B540" s="33"/>
      <c r="C540" s="33"/>
      <c r="D540" s="33"/>
      <c r="E540" s="33"/>
      <c r="F540" s="33"/>
      <c r="G540" s="33"/>
      <c r="H540" s="33"/>
      <c r="I540" s="33"/>
    </row>
    <row r="541" spans="1:9" s="54" customFormat="1" ht="11.4" customHeight="1" x14ac:dyDescent="0.3">
      <c r="A541" s="33"/>
      <c r="B541" s="33"/>
      <c r="C541" s="33"/>
      <c r="D541" s="33"/>
      <c r="E541" s="33"/>
      <c r="F541" s="33"/>
      <c r="G541" s="33"/>
      <c r="H541" s="33"/>
      <c r="I541" s="33"/>
    </row>
    <row r="542" spans="1:9" s="54" customFormat="1" ht="11.4" customHeight="1" x14ac:dyDescent="0.3">
      <c r="A542" s="33"/>
      <c r="B542" s="33"/>
      <c r="C542" s="33"/>
      <c r="D542" s="33"/>
      <c r="E542" s="33"/>
      <c r="F542" s="33"/>
      <c r="G542" s="33"/>
      <c r="H542" s="33"/>
      <c r="I542" s="33"/>
    </row>
    <row r="543" spans="1:9" s="54" customFormat="1" ht="11.4" customHeight="1" x14ac:dyDescent="0.3">
      <c r="A543" s="33"/>
      <c r="B543" s="33"/>
      <c r="C543" s="33"/>
      <c r="D543" s="33"/>
      <c r="E543" s="33"/>
      <c r="F543" s="33"/>
      <c r="G543" s="33"/>
      <c r="H543" s="33"/>
      <c r="I543" s="33"/>
    </row>
    <row r="544" spans="1:9" s="54" customFormat="1" ht="11.4" customHeight="1" x14ac:dyDescent="0.3">
      <c r="A544" s="33"/>
      <c r="B544" s="33"/>
      <c r="C544" s="33"/>
      <c r="D544" s="33"/>
      <c r="E544" s="33"/>
      <c r="F544" s="33"/>
      <c r="G544" s="33"/>
      <c r="H544" s="33"/>
      <c r="I544" s="33"/>
    </row>
    <row r="545" spans="1:9" s="54" customFormat="1" ht="11.4" customHeight="1" x14ac:dyDescent="0.3">
      <c r="A545" s="33"/>
      <c r="B545" s="33"/>
      <c r="C545" s="33"/>
      <c r="D545" s="33"/>
      <c r="E545" s="33"/>
      <c r="F545" s="33"/>
      <c r="G545" s="33"/>
      <c r="H545" s="33"/>
      <c r="I545" s="33"/>
    </row>
    <row r="546" spans="1:9" s="54" customFormat="1" ht="11.4" customHeight="1" x14ac:dyDescent="0.3">
      <c r="A546" s="33"/>
      <c r="B546" s="33"/>
      <c r="C546" s="33"/>
      <c r="D546" s="33"/>
      <c r="E546" s="33"/>
      <c r="F546" s="33"/>
      <c r="G546" s="33"/>
      <c r="H546" s="33"/>
      <c r="I546" s="33"/>
    </row>
    <row r="547" spans="1:9" s="54" customFormat="1" ht="11.4" customHeight="1" x14ac:dyDescent="0.3">
      <c r="A547" s="33"/>
      <c r="B547" s="33"/>
      <c r="C547" s="33"/>
      <c r="D547" s="33"/>
      <c r="E547" s="33"/>
      <c r="F547" s="33"/>
      <c r="G547" s="33"/>
      <c r="H547" s="33"/>
      <c r="I547" s="33"/>
    </row>
    <row r="548" spans="1:9" s="54" customFormat="1" ht="11.4" customHeight="1" x14ac:dyDescent="0.3">
      <c r="A548" s="33"/>
      <c r="B548" s="33"/>
      <c r="C548" s="33"/>
      <c r="D548" s="33"/>
      <c r="E548" s="33"/>
      <c r="F548" s="33"/>
      <c r="G548" s="33"/>
      <c r="H548" s="33"/>
      <c r="I548" s="33"/>
    </row>
    <row r="549" spans="1:9" s="54" customFormat="1" ht="11.4" customHeight="1" x14ac:dyDescent="0.3">
      <c r="A549" s="33"/>
      <c r="B549" s="33"/>
      <c r="C549" s="33"/>
      <c r="D549" s="33"/>
      <c r="E549" s="33"/>
      <c r="F549" s="33"/>
      <c r="G549" s="33"/>
      <c r="H549" s="33"/>
      <c r="I549" s="33"/>
    </row>
    <row r="550" spans="1:9" s="54" customFormat="1" ht="11.4" customHeight="1" x14ac:dyDescent="0.3">
      <c r="A550" s="33"/>
      <c r="B550" s="33"/>
      <c r="C550" s="33"/>
      <c r="D550" s="33"/>
      <c r="E550" s="33"/>
      <c r="F550" s="33"/>
      <c r="G550" s="33"/>
      <c r="H550" s="33"/>
      <c r="I550" s="33"/>
    </row>
    <row r="551" spans="1:9" s="54" customFormat="1" ht="11.4" customHeight="1" x14ac:dyDescent="0.3">
      <c r="A551" s="33"/>
      <c r="B551" s="33"/>
      <c r="C551" s="33"/>
      <c r="D551" s="33"/>
      <c r="E551" s="33"/>
      <c r="F551" s="33"/>
      <c r="G551" s="33"/>
      <c r="H551" s="33"/>
      <c r="I551" s="33"/>
    </row>
    <row r="552" spans="1:9" s="54" customFormat="1" ht="11.4" customHeight="1" x14ac:dyDescent="0.3">
      <c r="A552" s="33"/>
      <c r="B552" s="33"/>
      <c r="C552" s="33"/>
      <c r="D552" s="33"/>
      <c r="E552" s="33"/>
      <c r="F552" s="33"/>
      <c r="G552" s="33"/>
      <c r="H552" s="33"/>
      <c r="I552" s="33"/>
    </row>
    <row r="553" spans="1:9" s="54" customFormat="1" ht="11.4" customHeight="1" x14ac:dyDescent="0.3">
      <c r="A553" s="33"/>
      <c r="B553" s="33"/>
      <c r="C553" s="33"/>
      <c r="D553" s="33"/>
      <c r="E553" s="33"/>
      <c r="F553" s="33"/>
      <c r="G553" s="33"/>
      <c r="H553" s="33"/>
      <c r="I553" s="33"/>
    </row>
    <row r="554" spans="1:9" s="54" customFormat="1" ht="11.4" customHeight="1" x14ac:dyDescent="0.3">
      <c r="A554" s="33"/>
      <c r="B554" s="33"/>
      <c r="C554" s="33"/>
      <c r="D554" s="33"/>
      <c r="E554" s="33"/>
      <c r="F554" s="33"/>
      <c r="G554" s="33"/>
      <c r="H554" s="33"/>
      <c r="I554" s="33"/>
    </row>
    <row r="555" spans="1:9" s="54" customFormat="1" ht="11.4" customHeight="1" x14ac:dyDescent="0.3">
      <c r="A555" s="33"/>
      <c r="B555" s="33"/>
      <c r="C555" s="33"/>
      <c r="D555" s="33"/>
      <c r="E555" s="33"/>
      <c r="F555" s="33"/>
      <c r="G555" s="33"/>
      <c r="H555" s="33"/>
      <c r="I555" s="33"/>
    </row>
    <row r="556" spans="1:9" s="54" customFormat="1" ht="11.4" customHeight="1" x14ac:dyDescent="0.3">
      <c r="A556" s="33"/>
      <c r="B556" s="33"/>
      <c r="C556" s="33"/>
      <c r="D556" s="33"/>
      <c r="E556" s="33"/>
      <c r="F556" s="33"/>
      <c r="G556" s="33"/>
      <c r="H556" s="33"/>
      <c r="I556" s="33"/>
    </row>
    <row r="557" spans="1:9" s="54" customFormat="1" ht="11.4" customHeight="1" x14ac:dyDescent="0.3">
      <c r="A557" s="33"/>
      <c r="B557" s="33"/>
      <c r="C557" s="33"/>
      <c r="D557" s="33"/>
      <c r="E557" s="33"/>
      <c r="F557" s="33"/>
      <c r="G557" s="33"/>
      <c r="H557" s="33"/>
      <c r="I557" s="33"/>
    </row>
    <row r="558" spans="1:9" s="54" customFormat="1" ht="11.4" customHeight="1" x14ac:dyDescent="0.3">
      <c r="A558" s="33"/>
      <c r="B558" s="33"/>
      <c r="C558" s="33"/>
      <c r="D558" s="33"/>
      <c r="E558" s="33"/>
      <c r="F558" s="33"/>
      <c r="G558" s="33"/>
      <c r="H558" s="33"/>
      <c r="I558" s="33"/>
    </row>
    <row r="559" spans="1:9" s="54" customFormat="1" ht="11.4" customHeight="1" x14ac:dyDescent="0.3">
      <c r="A559" s="33"/>
      <c r="B559" s="33"/>
      <c r="C559" s="33"/>
      <c r="D559" s="33"/>
      <c r="E559" s="33"/>
      <c r="F559" s="33"/>
      <c r="G559" s="33"/>
      <c r="H559" s="33"/>
      <c r="I559" s="33"/>
    </row>
    <row r="560" spans="1:9" s="54" customFormat="1" ht="11.4" customHeight="1" x14ac:dyDescent="0.3">
      <c r="A560" s="33"/>
      <c r="B560" s="33"/>
      <c r="C560" s="33"/>
      <c r="D560" s="33"/>
      <c r="E560" s="33"/>
      <c r="F560" s="33"/>
      <c r="G560" s="33"/>
      <c r="H560" s="33"/>
      <c r="I560" s="33"/>
    </row>
    <row r="561" spans="1:9" s="54" customFormat="1" ht="11.4" customHeight="1" x14ac:dyDescent="0.3">
      <c r="A561" s="33"/>
      <c r="B561" s="33"/>
      <c r="C561" s="33"/>
      <c r="D561" s="33"/>
      <c r="E561" s="33"/>
      <c r="F561" s="33"/>
      <c r="G561" s="33"/>
      <c r="H561" s="33"/>
      <c r="I561" s="33"/>
    </row>
    <row r="562" spans="1:9" s="54" customFormat="1" ht="11.4" customHeight="1" x14ac:dyDescent="0.3">
      <c r="A562" s="33"/>
      <c r="B562" s="33"/>
      <c r="C562" s="33"/>
      <c r="D562" s="33"/>
      <c r="E562" s="33"/>
      <c r="F562" s="33"/>
      <c r="G562" s="33"/>
      <c r="H562" s="33"/>
      <c r="I562" s="33"/>
    </row>
    <row r="563" spans="1:9" s="54" customFormat="1" ht="11.4" customHeight="1" x14ac:dyDescent="0.3">
      <c r="A563" s="33"/>
      <c r="B563" s="33"/>
      <c r="C563" s="33"/>
      <c r="D563" s="33"/>
      <c r="E563" s="33"/>
      <c r="F563" s="33"/>
      <c r="G563" s="33"/>
      <c r="H563" s="33"/>
      <c r="I563" s="33"/>
    </row>
    <row r="564" spans="1:9" s="54" customFormat="1" ht="11.4" customHeight="1" x14ac:dyDescent="0.3">
      <c r="A564" s="33"/>
      <c r="B564" s="33"/>
      <c r="C564" s="33"/>
      <c r="D564" s="33"/>
      <c r="E564" s="33"/>
      <c r="F564" s="33"/>
      <c r="G564" s="33"/>
      <c r="H564" s="33"/>
      <c r="I564" s="33"/>
    </row>
    <row r="565" spans="1:9" s="54" customFormat="1" ht="11.4" customHeight="1" x14ac:dyDescent="0.3">
      <c r="A565" s="33"/>
      <c r="B565" s="33"/>
      <c r="C565" s="33"/>
      <c r="D565" s="33"/>
      <c r="E565" s="33"/>
      <c r="F565" s="33"/>
      <c r="G565" s="33"/>
      <c r="H565" s="33"/>
      <c r="I565" s="33"/>
    </row>
    <row r="566" spans="1:9" s="54" customFormat="1" ht="11.4" customHeight="1" x14ac:dyDescent="0.3">
      <c r="A566" s="33"/>
      <c r="B566" s="33"/>
      <c r="C566" s="33"/>
      <c r="D566" s="33"/>
      <c r="E566" s="33"/>
      <c r="F566" s="33"/>
      <c r="G566" s="33"/>
      <c r="H566" s="33"/>
      <c r="I566" s="33"/>
    </row>
    <row r="567" spans="1:9" s="54" customFormat="1" ht="11.4" customHeight="1" x14ac:dyDescent="0.3">
      <c r="A567" s="33"/>
      <c r="B567" s="33"/>
      <c r="C567" s="33"/>
      <c r="D567" s="33"/>
      <c r="E567" s="33"/>
      <c r="F567" s="33"/>
      <c r="G567" s="33"/>
      <c r="H567" s="33"/>
      <c r="I567" s="33"/>
    </row>
    <row r="568" spans="1:9" s="54" customFormat="1" ht="11.4" customHeight="1" x14ac:dyDescent="0.3">
      <c r="A568" s="33"/>
      <c r="B568" s="33"/>
      <c r="C568" s="33"/>
      <c r="D568" s="33"/>
      <c r="E568" s="33"/>
      <c r="F568" s="33"/>
      <c r="G568" s="33"/>
      <c r="H568" s="33"/>
      <c r="I568" s="33"/>
    </row>
    <row r="569" spans="1:9" s="54" customFormat="1" ht="11.4" customHeight="1" x14ac:dyDescent="0.3">
      <c r="A569" s="33"/>
      <c r="B569" s="33"/>
      <c r="C569" s="33"/>
      <c r="D569" s="33"/>
      <c r="E569" s="33"/>
      <c r="F569" s="33"/>
      <c r="G569" s="33"/>
      <c r="H569" s="33"/>
      <c r="I569" s="33"/>
    </row>
    <row r="570" spans="1:9" s="54" customFormat="1" ht="11.4" customHeight="1" x14ac:dyDescent="0.3">
      <c r="A570" s="33"/>
      <c r="B570" s="33"/>
      <c r="C570" s="33"/>
      <c r="D570" s="33"/>
      <c r="E570" s="33"/>
      <c r="F570" s="33"/>
      <c r="G570" s="33"/>
      <c r="H570" s="33"/>
      <c r="I570" s="33"/>
    </row>
    <row r="571" spans="1:9" s="54" customFormat="1" ht="11.4" customHeight="1" x14ac:dyDescent="0.3">
      <c r="A571" s="33"/>
      <c r="B571" s="33"/>
      <c r="C571" s="33"/>
      <c r="D571" s="33"/>
      <c r="E571" s="33"/>
      <c r="F571" s="33"/>
      <c r="G571" s="33"/>
      <c r="H571" s="33"/>
      <c r="I571" s="33"/>
    </row>
    <row r="572" spans="1:9" s="54" customFormat="1" ht="11.4" customHeight="1" x14ac:dyDescent="0.3">
      <c r="A572" s="33"/>
      <c r="B572" s="33"/>
      <c r="C572" s="33"/>
      <c r="D572" s="33"/>
      <c r="E572" s="33"/>
      <c r="F572" s="33"/>
      <c r="G572" s="33"/>
      <c r="H572" s="33"/>
      <c r="I572" s="33"/>
    </row>
    <row r="573" spans="1:9" s="54" customFormat="1" ht="11.4" customHeight="1" x14ac:dyDescent="0.3">
      <c r="A573" s="33"/>
      <c r="B573" s="33"/>
      <c r="C573" s="33"/>
      <c r="D573" s="33"/>
      <c r="E573" s="33"/>
      <c r="F573" s="33"/>
      <c r="G573" s="33"/>
      <c r="H573" s="33"/>
      <c r="I573" s="33"/>
    </row>
    <row r="574" spans="1:9" s="54" customFormat="1" ht="11.4" customHeight="1" x14ac:dyDescent="0.3">
      <c r="A574" s="33"/>
      <c r="B574" s="33"/>
      <c r="C574" s="33"/>
      <c r="D574" s="33"/>
      <c r="E574" s="33"/>
      <c r="F574" s="33"/>
      <c r="G574" s="33"/>
      <c r="H574" s="33"/>
      <c r="I574" s="33"/>
    </row>
    <row r="575" spans="1:9" s="54" customFormat="1" ht="11.4" customHeight="1" x14ac:dyDescent="0.3">
      <c r="A575" s="33"/>
      <c r="B575" s="33"/>
      <c r="C575" s="33"/>
      <c r="D575" s="33"/>
      <c r="E575" s="33"/>
      <c r="F575" s="33"/>
      <c r="G575" s="33"/>
      <c r="H575" s="33"/>
      <c r="I575" s="33"/>
    </row>
    <row r="576" spans="1:9" s="54" customFormat="1" ht="11.4" customHeight="1" x14ac:dyDescent="0.3">
      <c r="A576" s="33"/>
      <c r="B576" s="33"/>
      <c r="C576" s="33"/>
      <c r="D576" s="33"/>
      <c r="E576" s="33"/>
      <c r="F576" s="33"/>
      <c r="G576" s="33"/>
      <c r="H576" s="33"/>
      <c r="I576" s="33"/>
    </row>
    <row r="577" spans="1:9" s="54" customFormat="1" ht="11.4" customHeight="1" x14ac:dyDescent="0.3">
      <c r="A577" s="33"/>
      <c r="B577" s="33"/>
      <c r="C577" s="33"/>
      <c r="D577" s="33"/>
      <c r="E577" s="33"/>
      <c r="F577" s="33"/>
      <c r="G577" s="33"/>
      <c r="H577" s="33"/>
      <c r="I577" s="33"/>
    </row>
    <row r="578" spans="1:9" s="54" customFormat="1" ht="11.4" customHeight="1" x14ac:dyDescent="0.3">
      <c r="A578" s="33"/>
      <c r="B578" s="33"/>
      <c r="C578" s="33"/>
      <c r="D578" s="33"/>
      <c r="E578" s="33"/>
      <c r="F578" s="33"/>
      <c r="G578" s="33"/>
      <c r="H578" s="33"/>
      <c r="I578" s="33"/>
    </row>
    <row r="579" spans="1:9" s="54" customFormat="1" ht="11.4" customHeight="1" x14ac:dyDescent="0.3">
      <c r="A579" s="33"/>
      <c r="B579" s="33"/>
      <c r="C579" s="33"/>
      <c r="D579" s="33"/>
      <c r="E579" s="33"/>
      <c r="F579" s="33"/>
      <c r="G579" s="33"/>
      <c r="H579" s="33"/>
      <c r="I579" s="33"/>
    </row>
    <row r="580" spans="1:9" s="54" customFormat="1" ht="11.4" customHeight="1" x14ac:dyDescent="0.3">
      <c r="A580" s="33"/>
      <c r="B580" s="33"/>
      <c r="C580" s="33"/>
      <c r="D580" s="33"/>
      <c r="E580" s="33"/>
      <c r="F580" s="33"/>
      <c r="G580" s="33"/>
      <c r="H580" s="33"/>
      <c r="I580" s="33"/>
    </row>
    <row r="581" spans="1:9" s="54" customFormat="1" ht="11.4" customHeight="1" x14ac:dyDescent="0.3">
      <c r="A581" s="33"/>
      <c r="B581" s="33"/>
      <c r="C581" s="33"/>
      <c r="D581" s="33"/>
      <c r="E581" s="33"/>
      <c r="F581" s="33"/>
      <c r="G581" s="33"/>
      <c r="H581" s="33"/>
      <c r="I581" s="33"/>
    </row>
    <row r="582" spans="1:9" s="54" customFormat="1" ht="11.4" customHeight="1" x14ac:dyDescent="0.3">
      <c r="A582" s="33"/>
      <c r="B582" s="33"/>
      <c r="C582" s="33"/>
      <c r="D582" s="33"/>
      <c r="E582" s="33"/>
      <c r="F582" s="33"/>
      <c r="G582" s="33"/>
      <c r="H582" s="33"/>
      <c r="I582" s="33"/>
    </row>
    <row r="583" spans="1:9" s="54" customFormat="1" ht="11.4" customHeight="1" x14ac:dyDescent="0.3">
      <c r="A583" s="33"/>
      <c r="B583" s="33"/>
      <c r="C583" s="33"/>
      <c r="D583" s="33"/>
      <c r="E583" s="33"/>
      <c r="F583" s="33"/>
      <c r="G583" s="33"/>
      <c r="H583" s="33"/>
      <c r="I583" s="33"/>
    </row>
    <row r="584" spans="1:9" s="54" customFormat="1" ht="11.4" customHeight="1" x14ac:dyDescent="0.3">
      <c r="A584" s="33"/>
      <c r="B584" s="33"/>
      <c r="C584" s="33"/>
      <c r="D584" s="33"/>
      <c r="E584" s="33"/>
      <c r="F584" s="33"/>
      <c r="G584" s="33"/>
      <c r="H584" s="33"/>
      <c r="I584" s="33"/>
    </row>
    <row r="585" spans="1:9" s="54" customFormat="1" ht="11.4" customHeight="1" x14ac:dyDescent="0.3">
      <c r="A585" s="33"/>
      <c r="B585" s="33"/>
      <c r="C585" s="33"/>
      <c r="D585" s="33"/>
      <c r="E585" s="33"/>
      <c r="F585" s="33"/>
      <c r="G585" s="33"/>
      <c r="H585" s="33"/>
      <c r="I585" s="33"/>
    </row>
    <row r="586" spans="1:9" s="54" customFormat="1" ht="11.4" customHeight="1" x14ac:dyDescent="0.3">
      <c r="A586" s="33"/>
      <c r="B586" s="33"/>
      <c r="C586" s="33"/>
      <c r="D586" s="33"/>
      <c r="E586" s="33"/>
      <c r="F586" s="33"/>
      <c r="G586" s="33"/>
      <c r="H586" s="33"/>
      <c r="I586" s="33"/>
    </row>
    <row r="587" spans="1:9" s="54" customFormat="1" ht="11.4" customHeight="1" x14ac:dyDescent="0.3">
      <c r="A587" s="33"/>
      <c r="B587" s="33"/>
      <c r="C587" s="33"/>
      <c r="D587" s="33"/>
      <c r="E587" s="33"/>
      <c r="F587" s="33"/>
      <c r="G587" s="33"/>
      <c r="H587" s="33"/>
      <c r="I587" s="33"/>
    </row>
    <row r="588" spans="1:9" s="54" customFormat="1" ht="11.4" customHeight="1" x14ac:dyDescent="0.3">
      <c r="A588" s="33"/>
      <c r="B588" s="33"/>
      <c r="C588" s="33"/>
      <c r="D588" s="33"/>
      <c r="E588" s="33"/>
      <c r="F588" s="33"/>
      <c r="G588" s="33"/>
      <c r="H588" s="33"/>
      <c r="I588" s="33"/>
    </row>
    <row r="589" spans="1:9" s="54" customFormat="1" ht="11.4" customHeight="1" x14ac:dyDescent="0.3">
      <c r="A589" s="33"/>
      <c r="B589" s="33"/>
      <c r="C589" s="33"/>
      <c r="D589" s="33"/>
      <c r="E589" s="33"/>
      <c r="F589" s="33"/>
      <c r="G589" s="33"/>
      <c r="H589" s="33"/>
      <c r="I589" s="33"/>
    </row>
    <row r="590" spans="1:9" s="54" customFormat="1" ht="11.4" customHeight="1" x14ac:dyDescent="0.3">
      <c r="A590" s="33"/>
      <c r="B590" s="33"/>
      <c r="C590" s="33"/>
      <c r="D590" s="33"/>
      <c r="E590" s="33"/>
      <c r="F590" s="33"/>
      <c r="G590" s="33"/>
      <c r="H590" s="33"/>
      <c r="I590" s="33"/>
    </row>
    <row r="591" spans="1:9" s="54" customFormat="1" ht="11.4" customHeight="1" x14ac:dyDescent="0.3">
      <c r="A591" s="33"/>
      <c r="B591" s="33"/>
      <c r="C591" s="33"/>
      <c r="D591" s="33"/>
      <c r="E591" s="33"/>
      <c r="F591" s="33"/>
      <c r="G591" s="33"/>
      <c r="H591" s="33"/>
      <c r="I591" s="33"/>
    </row>
    <row r="592" spans="1:9" s="54" customFormat="1" ht="11.4" customHeight="1" x14ac:dyDescent="0.3">
      <c r="A592" s="33"/>
      <c r="B592" s="33"/>
      <c r="C592" s="33"/>
      <c r="D592" s="33"/>
      <c r="E592" s="33"/>
      <c r="F592" s="33"/>
      <c r="G592" s="33"/>
      <c r="H592" s="33"/>
      <c r="I592" s="33"/>
    </row>
    <row r="593" spans="1:9" s="54" customFormat="1" ht="11.4" customHeight="1" x14ac:dyDescent="0.3">
      <c r="A593" s="33"/>
      <c r="B593" s="33"/>
      <c r="C593" s="33"/>
      <c r="D593" s="33"/>
      <c r="E593" s="33"/>
      <c r="F593" s="33"/>
      <c r="G593" s="33"/>
      <c r="H593" s="33"/>
      <c r="I593" s="33"/>
    </row>
    <row r="594" spans="1:9" s="54" customFormat="1" ht="11.4" customHeight="1" x14ac:dyDescent="0.3">
      <c r="A594" s="33"/>
      <c r="B594" s="33"/>
      <c r="C594" s="33"/>
      <c r="D594" s="33"/>
      <c r="E594" s="33"/>
      <c r="F594" s="33"/>
      <c r="G594" s="33"/>
      <c r="H594" s="33"/>
      <c r="I594" s="33"/>
    </row>
    <row r="595" spans="1:9" s="54" customFormat="1" ht="11.4" customHeight="1" x14ac:dyDescent="0.3">
      <c r="A595" s="33"/>
      <c r="B595" s="33"/>
      <c r="C595" s="33"/>
      <c r="D595" s="33"/>
      <c r="E595" s="33"/>
      <c r="F595" s="33"/>
      <c r="G595" s="33"/>
      <c r="H595" s="33"/>
      <c r="I595" s="33"/>
    </row>
    <row r="596" spans="1:9" s="54" customFormat="1" ht="11.4" customHeight="1" x14ac:dyDescent="0.3">
      <c r="A596" s="33"/>
      <c r="B596" s="33"/>
      <c r="C596" s="33"/>
      <c r="D596" s="33"/>
      <c r="E596" s="33"/>
      <c r="F596" s="33"/>
      <c r="G596" s="33"/>
      <c r="H596" s="33"/>
      <c r="I596" s="33"/>
    </row>
    <row r="597" spans="1:9" s="54" customFormat="1" ht="11.4" customHeight="1" x14ac:dyDescent="0.3">
      <c r="A597" s="33"/>
      <c r="B597" s="33"/>
      <c r="C597" s="33"/>
      <c r="D597" s="33"/>
      <c r="E597" s="33"/>
      <c r="F597" s="33"/>
      <c r="G597" s="33"/>
      <c r="H597" s="33"/>
      <c r="I597" s="33"/>
    </row>
    <row r="598" spans="1:9" s="54" customFormat="1" ht="11.4" customHeight="1" x14ac:dyDescent="0.3">
      <c r="A598" s="33"/>
      <c r="B598" s="33"/>
      <c r="C598" s="33"/>
      <c r="D598" s="33"/>
      <c r="E598" s="33"/>
      <c r="F598" s="33"/>
      <c r="G598" s="33"/>
      <c r="H598" s="33"/>
      <c r="I598" s="33"/>
    </row>
    <row r="599" spans="1:9" s="54" customFormat="1" ht="11.4" customHeight="1" x14ac:dyDescent="0.3">
      <c r="A599" s="33"/>
      <c r="B599" s="33"/>
      <c r="C599" s="33"/>
      <c r="D599" s="33"/>
      <c r="E599" s="33"/>
      <c r="F599" s="33"/>
      <c r="G599" s="33"/>
      <c r="H599" s="33"/>
      <c r="I599" s="33"/>
    </row>
    <row r="600" spans="1:9" s="54" customFormat="1" ht="11.4" customHeight="1" x14ac:dyDescent="0.3">
      <c r="A600" s="33"/>
      <c r="B600" s="33"/>
      <c r="C600" s="33"/>
      <c r="D600" s="33"/>
      <c r="E600" s="33"/>
      <c r="F600" s="33"/>
      <c r="G600" s="33"/>
      <c r="H600" s="33"/>
      <c r="I600" s="33"/>
    </row>
    <row r="601" spans="1:9" s="54" customFormat="1" ht="11.4" customHeight="1" x14ac:dyDescent="0.3">
      <c r="A601" s="33"/>
      <c r="B601" s="33"/>
      <c r="C601" s="33"/>
      <c r="D601" s="33"/>
      <c r="E601" s="33"/>
      <c r="F601" s="33"/>
      <c r="G601" s="33"/>
      <c r="H601" s="33"/>
      <c r="I601" s="33"/>
    </row>
    <row r="602" spans="1:9" s="54" customFormat="1" ht="11.4" customHeight="1" x14ac:dyDescent="0.3">
      <c r="A602" s="33"/>
      <c r="B602" s="33"/>
      <c r="C602" s="33"/>
      <c r="D602" s="33"/>
      <c r="E602" s="33"/>
      <c r="F602" s="33"/>
      <c r="G602" s="33"/>
      <c r="H602" s="33"/>
      <c r="I602" s="33"/>
    </row>
    <row r="603" spans="1:9" s="54" customFormat="1" ht="11.4" customHeight="1" x14ac:dyDescent="0.3">
      <c r="A603" s="33"/>
      <c r="B603" s="33"/>
      <c r="C603" s="33"/>
      <c r="D603" s="33"/>
      <c r="E603" s="33"/>
      <c r="F603" s="33"/>
      <c r="G603" s="33"/>
      <c r="H603" s="33"/>
      <c r="I603" s="33"/>
    </row>
    <row r="604" spans="1:9" s="54" customFormat="1" ht="11.4" customHeight="1" x14ac:dyDescent="0.3">
      <c r="A604" s="33"/>
      <c r="B604" s="33"/>
      <c r="C604" s="33"/>
      <c r="D604" s="33"/>
      <c r="E604" s="33"/>
      <c r="F604" s="33"/>
      <c r="G604" s="33"/>
      <c r="H604" s="33"/>
      <c r="I604" s="33"/>
    </row>
    <row r="605" spans="1:9" s="54" customFormat="1" ht="11.4" customHeight="1" x14ac:dyDescent="0.3">
      <c r="A605" s="33"/>
      <c r="B605" s="33"/>
      <c r="C605" s="33"/>
      <c r="D605" s="33"/>
      <c r="E605" s="33"/>
      <c r="F605" s="33"/>
      <c r="G605" s="33"/>
      <c r="H605" s="33"/>
      <c r="I605" s="33"/>
    </row>
    <row r="606" spans="1:9" s="54" customFormat="1" ht="11.4" customHeight="1" x14ac:dyDescent="0.3">
      <c r="A606" s="33"/>
      <c r="B606" s="33"/>
      <c r="C606" s="33"/>
      <c r="D606" s="33"/>
      <c r="E606" s="33"/>
      <c r="F606" s="33"/>
      <c r="G606" s="33"/>
      <c r="H606" s="33"/>
      <c r="I606" s="33"/>
    </row>
    <row r="607" spans="1:9" s="54" customFormat="1" ht="11.4" customHeight="1" x14ac:dyDescent="0.3">
      <c r="A607" s="33"/>
      <c r="B607" s="33"/>
      <c r="C607" s="33"/>
      <c r="D607" s="33"/>
      <c r="E607" s="33"/>
      <c r="F607" s="33"/>
      <c r="G607" s="33"/>
      <c r="H607" s="33"/>
      <c r="I607" s="33"/>
    </row>
    <row r="608" spans="1:9" s="54" customFormat="1" ht="11.4" customHeight="1" x14ac:dyDescent="0.3">
      <c r="A608" s="33"/>
      <c r="B608" s="33"/>
      <c r="C608" s="33"/>
      <c r="D608" s="33"/>
      <c r="E608" s="33"/>
      <c r="F608" s="33"/>
      <c r="G608" s="33"/>
      <c r="H608" s="33"/>
      <c r="I608" s="33"/>
    </row>
    <row r="609" spans="1:9" s="54" customFormat="1" ht="11.4" customHeight="1" x14ac:dyDescent="0.3">
      <c r="A609" s="33"/>
      <c r="B609" s="33"/>
      <c r="C609" s="33"/>
      <c r="D609" s="33"/>
      <c r="E609" s="33"/>
      <c r="F609" s="33"/>
      <c r="G609" s="33"/>
      <c r="H609" s="33"/>
      <c r="I609" s="33"/>
    </row>
    <row r="610" spans="1:9" s="54" customFormat="1" ht="11.4" customHeight="1" x14ac:dyDescent="0.3">
      <c r="A610" s="33"/>
      <c r="B610" s="33"/>
      <c r="C610" s="33"/>
      <c r="D610" s="33"/>
      <c r="E610" s="33"/>
      <c r="F610" s="33"/>
      <c r="G610" s="33"/>
      <c r="H610" s="33"/>
      <c r="I610" s="33"/>
    </row>
    <row r="611" spans="1:9" s="54" customFormat="1" ht="11.4" customHeight="1" x14ac:dyDescent="0.3">
      <c r="A611" s="33"/>
      <c r="B611" s="33"/>
      <c r="C611" s="33"/>
      <c r="D611" s="33"/>
      <c r="E611" s="33"/>
      <c r="F611" s="33"/>
      <c r="G611" s="33"/>
      <c r="H611" s="33"/>
      <c r="I611" s="33"/>
    </row>
    <row r="612" spans="1:9" s="54" customFormat="1" ht="11.4" customHeight="1" x14ac:dyDescent="0.3">
      <c r="A612" s="33"/>
      <c r="B612" s="33"/>
      <c r="C612" s="33"/>
      <c r="D612" s="33"/>
      <c r="E612" s="33"/>
      <c r="F612" s="33"/>
      <c r="G612" s="33"/>
      <c r="H612" s="33"/>
      <c r="I612" s="33"/>
    </row>
    <row r="613" spans="1:9" s="54" customFormat="1" ht="11.4" customHeight="1" x14ac:dyDescent="0.3">
      <c r="A613" s="33"/>
      <c r="B613" s="33"/>
      <c r="C613" s="33"/>
      <c r="D613" s="33"/>
      <c r="E613" s="33"/>
      <c r="F613" s="33"/>
      <c r="G613" s="33"/>
      <c r="H613" s="33"/>
      <c r="I613" s="33"/>
    </row>
    <row r="614" spans="1:9" s="54" customFormat="1" ht="11.4" customHeight="1" x14ac:dyDescent="0.3">
      <c r="A614" s="33"/>
      <c r="B614" s="33"/>
      <c r="C614" s="33"/>
      <c r="D614" s="33"/>
      <c r="E614" s="33"/>
      <c r="F614" s="33"/>
      <c r="G614" s="33"/>
      <c r="H614" s="33"/>
      <c r="I614" s="33"/>
    </row>
    <row r="615" spans="1:9" s="54" customFormat="1" ht="11.4" customHeight="1" x14ac:dyDescent="0.3">
      <c r="A615" s="33"/>
      <c r="B615" s="33"/>
      <c r="C615" s="33"/>
      <c r="D615" s="33"/>
      <c r="E615" s="33"/>
      <c r="F615" s="33"/>
      <c r="G615" s="33"/>
      <c r="H615" s="33"/>
      <c r="I615" s="33"/>
    </row>
    <row r="616" spans="1:9" s="54" customFormat="1" ht="11.4" customHeight="1" x14ac:dyDescent="0.3">
      <c r="A616" s="33"/>
      <c r="B616" s="33"/>
      <c r="C616" s="33"/>
      <c r="D616" s="33"/>
      <c r="E616" s="33"/>
      <c r="F616" s="33"/>
      <c r="G616" s="33"/>
      <c r="H616" s="33"/>
      <c r="I616" s="33"/>
    </row>
    <row r="617" spans="1:9" s="54" customFormat="1" ht="11.4" customHeight="1" x14ac:dyDescent="0.3">
      <c r="A617" s="33"/>
      <c r="B617" s="33"/>
      <c r="C617" s="33"/>
      <c r="D617" s="33"/>
      <c r="E617" s="33"/>
      <c r="F617" s="33"/>
      <c r="G617" s="33"/>
      <c r="H617" s="33"/>
      <c r="I617" s="33"/>
    </row>
    <row r="618" spans="1:9" s="54" customFormat="1" ht="11.4" customHeight="1" x14ac:dyDescent="0.3">
      <c r="A618" s="33"/>
      <c r="B618" s="33"/>
      <c r="C618" s="33"/>
      <c r="D618" s="33"/>
      <c r="E618" s="33"/>
      <c r="F618" s="33"/>
      <c r="G618" s="33"/>
      <c r="H618" s="33"/>
      <c r="I618" s="33"/>
    </row>
    <row r="619" spans="1:9" s="54" customFormat="1" ht="11.4" customHeight="1" x14ac:dyDescent="0.3">
      <c r="A619" s="33"/>
      <c r="B619" s="33"/>
      <c r="C619" s="33"/>
      <c r="D619" s="33"/>
      <c r="E619" s="33"/>
      <c r="F619" s="33"/>
      <c r="G619" s="33"/>
      <c r="H619" s="33"/>
      <c r="I619" s="33"/>
    </row>
    <row r="620" spans="1:9" s="54" customFormat="1" ht="11.4" customHeight="1" x14ac:dyDescent="0.3">
      <c r="A620" s="33"/>
      <c r="B620" s="33"/>
      <c r="C620" s="33"/>
      <c r="D620" s="33"/>
      <c r="E620" s="33"/>
      <c r="F620" s="33"/>
      <c r="G620" s="33"/>
      <c r="H620" s="33"/>
      <c r="I620" s="33"/>
    </row>
    <row r="621" spans="1:9" s="54" customFormat="1" ht="11.4" customHeight="1" x14ac:dyDescent="0.3">
      <c r="A621" s="33"/>
      <c r="B621" s="33"/>
      <c r="C621" s="33"/>
      <c r="D621" s="33"/>
      <c r="E621" s="33"/>
      <c r="F621" s="33"/>
      <c r="G621" s="33"/>
      <c r="H621" s="33"/>
      <c r="I621" s="33"/>
    </row>
    <row r="622" spans="1:9" s="54" customFormat="1" ht="11.4" customHeight="1" x14ac:dyDescent="0.3">
      <c r="A622" s="33"/>
      <c r="B622" s="33"/>
      <c r="C622" s="33"/>
      <c r="D622" s="33"/>
      <c r="E622" s="33"/>
      <c r="F622" s="33"/>
      <c r="G622" s="33"/>
      <c r="H622" s="33"/>
      <c r="I622" s="33"/>
    </row>
    <row r="623" spans="1:9" s="54" customFormat="1" ht="11.4" customHeight="1" x14ac:dyDescent="0.3">
      <c r="A623" s="33"/>
      <c r="B623" s="33"/>
      <c r="C623" s="33"/>
      <c r="D623" s="33"/>
      <c r="E623" s="33"/>
      <c r="F623" s="33"/>
      <c r="G623" s="33"/>
      <c r="H623" s="33"/>
      <c r="I623" s="33"/>
    </row>
    <row r="624" spans="1:9" s="54" customFormat="1" ht="11.4" customHeight="1" x14ac:dyDescent="0.3">
      <c r="A624" s="33"/>
      <c r="B624" s="33"/>
      <c r="C624" s="33"/>
      <c r="D624" s="33"/>
      <c r="E624" s="33"/>
      <c r="F624" s="33"/>
      <c r="G624" s="33"/>
      <c r="H624" s="33"/>
      <c r="I624" s="33"/>
    </row>
    <row r="625" spans="1:9" s="54" customFormat="1" ht="11.4" customHeight="1" x14ac:dyDescent="0.3">
      <c r="A625" s="33"/>
      <c r="B625" s="33"/>
      <c r="C625" s="33"/>
      <c r="D625" s="33"/>
      <c r="E625" s="33"/>
      <c r="F625" s="33"/>
      <c r="G625" s="33"/>
      <c r="H625" s="33"/>
      <c r="I625" s="33"/>
    </row>
    <row r="626" spans="1:9" s="54" customFormat="1" ht="11.4" customHeight="1" x14ac:dyDescent="0.3">
      <c r="A626" s="33"/>
      <c r="B626" s="33"/>
      <c r="C626" s="33"/>
      <c r="D626" s="33"/>
      <c r="E626" s="33"/>
      <c r="F626" s="33"/>
      <c r="G626" s="33"/>
      <c r="H626" s="33"/>
      <c r="I626" s="33"/>
    </row>
    <row r="627" spans="1:9" s="54" customFormat="1" ht="11.4" customHeight="1" x14ac:dyDescent="0.3">
      <c r="A627" s="33"/>
      <c r="B627" s="33"/>
      <c r="C627" s="33"/>
      <c r="D627" s="33"/>
      <c r="E627" s="33"/>
      <c r="F627" s="33"/>
      <c r="G627" s="33"/>
      <c r="H627" s="33"/>
      <c r="I627" s="33"/>
    </row>
    <row r="628" spans="1:9" s="54" customFormat="1" ht="11.4" customHeight="1" x14ac:dyDescent="0.3">
      <c r="A628" s="33"/>
      <c r="B628" s="33"/>
      <c r="C628" s="33"/>
      <c r="D628" s="33"/>
      <c r="E628" s="33"/>
      <c r="F628" s="33"/>
      <c r="G628" s="33"/>
      <c r="H628" s="33"/>
      <c r="I628" s="33"/>
    </row>
    <row r="629" spans="1:9" s="54" customFormat="1" ht="11.4" customHeight="1" x14ac:dyDescent="0.3">
      <c r="A629" s="33"/>
      <c r="B629" s="33"/>
      <c r="C629" s="33"/>
      <c r="D629" s="33"/>
      <c r="E629" s="33"/>
      <c r="F629" s="33"/>
      <c r="G629" s="33"/>
      <c r="H629" s="33"/>
      <c r="I629" s="33"/>
    </row>
    <row r="630" spans="1:9" s="54" customFormat="1" ht="11.4" customHeight="1" x14ac:dyDescent="0.3">
      <c r="A630" s="33"/>
      <c r="B630" s="33"/>
      <c r="C630" s="33"/>
      <c r="D630" s="33"/>
      <c r="E630" s="33"/>
      <c r="F630" s="33"/>
      <c r="G630" s="33"/>
      <c r="H630" s="33"/>
      <c r="I630" s="33"/>
    </row>
    <row r="631" spans="1:9" s="54" customFormat="1" ht="11.4" customHeight="1" x14ac:dyDescent="0.3">
      <c r="A631" s="33"/>
      <c r="B631" s="33"/>
      <c r="C631" s="33"/>
      <c r="D631" s="33"/>
      <c r="E631" s="33"/>
      <c r="F631" s="33"/>
      <c r="G631" s="33"/>
      <c r="H631" s="33"/>
      <c r="I631" s="33"/>
    </row>
    <row r="632" spans="1:9" s="54" customFormat="1" ht="11.4" customHeight="1" x14ac:dyDescent="0.3">
      <c r="A632" s="33"/>
      <c r="B632" s="33"/>
      <c r="C632" s="33"/>
      <c r="D632" s="33"/>
      <c r="E632" s="33"/>
      <c r="F632" s="33"/>
      <c r="G632" s="33"/>
      <c r="H632" s="33"/>
      <c r="I632" s="33"/>
    </row>
    <row r="633" spans="1:9" s="54" customFormat="1" ht="11.4" customHeight="1" x14ac:dyDescent="0.3">
      <c r="A633" s="33"/>
      <c r="B633" s="33"/>
      <c r="C633" s="33"/>
      <c r="D633" s="33"/>
      <c r="E633" s="33"/>
      <c r="F633" s="33"/>
      <c r="G633" s="33"/>
      <c r="H633" s="33"/>
      <c r="I633" s="33"/>
    </row>
    <row r="634" spans="1:9" s="54" customFormat="1" ht="11.4" customHeight="1" x14ac:dyDescent="0.3">
      <c r="A634" s="33"/>
      <c r="B634" s="33"/>
      <c r="C634" s="33"/>
      <c r="D634" s="33"/>
      <c r="E634" s="33"/>
      <c r="F634" s="33"/>
      <c r="G634" s="33"/>
      <c r="H634" s="33"/>
      <c r="I634" s="33"/>
    </row>
    <row r="635" spans="1:9" s="54" customFormat="1" ht="11.4" customHeight="1" x14ac:dyDescent="0.3">
      <c r="A635" s="33"/>
      <c r="B635" s="33"/>
      <c r="C635" s="33"/>
      <c r="D635" s="33"/>
      <c r="E635" s="33"/>
      <c r="F635" s="33"/>
      <c r="G635" s="33"/>
      <c r="H635" s="33"/>
      <c r="I635" s="33"/>
    </row>
    <row r="636" spans="1:9" s="54" customFormat="1" ht="11.4" customHeight="1" x14ac:dyDescent="0.3">
      <c r="A636" s="33"/>
      <c r="B636" s="33"/>
      <c r="C636" s="33"/>
      <c r="D636" s="33"/>
      <c r="E636" s="33"/>
      <c r="F636" s="33"/>
      <c r="G636" s="33"/>
      <c r="H636" s="33"/>
      <c r="I636" s="33"/>
    </row>
    <row r="637" spans="1:9" s="54" customFormat="1" ht="11.4" customHeight="1" x14ac:dyDescent="0.3">
      <c r="A637" s="33"/>
      <c r="B637" s="33"/>
      <c r="C637" s="33"/>
      <c r="D637" s="33"/>
      <c r="E637" s="33"/>
      <c r="F637" s="33"/>
      <c r="G637" s="33"/>
      <c r="H637" s="33"/>
      <c r="I637" s="33"/>
    </row>
    <row r="638" spans="1:9" s="54" customFormat="1" ht="11.4" customHeight="1" x14ac:dyDescent="0.3">
      <c r="A638" s="33"/>
      <c r="B638" s="33"/>
      <c r="C638" s="33"/>
      <c r="D638" s="33"/>
      <c r="E638" s="33"/>
      <c r="F638" s="33"/>
      <c r="G638" s="33"/>
      <c r="H638" s="33"/>
      <c r="I638" s="33"/>
    </row>
    <row r="639" spans="1:9" s="54" customFormat="1" ht="11.4" customHeight="1" x14ac:dyDescent="0.3">
      <c r="A639" s="33"/>
      <c r="B639" s="33"/>
      <c r="C639" s="33"/>
      <c r="D639" s="33"/>
      <c r="E639" s="33"/>
      <c r="F639" s="33"/>
      <c r="G639" s="33"/>
      <c r="H639" s="33"/>
      <c r="I639" s="33"/>
    </row>
    <row r="640" spans="1:9" s="54" customFormat="1" ht="11.4" customHeight="1" x14ac:dyDescent="0.3">
      <c r="A640" s="33"/>
      <c r="B640" s="33"/>
      <c r="C640" s="33"/>
      <c r="D640" s="33"/>
      <c r="E640" s="33"/>
      <c r="F640" s="33"/>
      <c r="G640" s="33"/>
      <c r="H640" s="33"/>
      <c r="I640" s="33"/>
    </row>
    <row r="641" spans="1:9" s="54" customFormat="1" ht="11.4" customHeight="1" x14ac:dyDescent="0.3">
      <c r="A641" s="33"/>
      <c r="B641" s="33"/>
      <c r="C641" s="33"/>
      <c r="D641" s="33"/>
      <c r="E641" s="33"/>
      <c r="F641" s="33"/>
      <c r="G641" s="33"/>
      <c r="H641" s="33"/>
      <c r="I641" s="33"/>
    </row>
    <row r="642" spans="1:9" s="54" customFormat="1" ht="11.4" customHeight="1" x14ac:dyDescent="0.3">
      <c r="A642" s="33"/>
      <c r="B642" s="33"/>
      <c r="C642" s="33"/>
      <c r="D642" s="33"/>
      <c r="E642" s="33"/>
      <c r="F642" s="33"/>
      <c r="G642" s="33"/>
      <c r="H642" s="33"/>
      <c r="I642" s="33"/>
    </row>
    <row r="643" spans="1:9" s="54" customFormat="1" ht="11.4" customHeight="1" x14ac:dyDescent="0.3">
      <c r="A643" s="33"/>
      <c r="B643" s="33"/>
      <c r="C643" s="33"/>
      <c r="D643" s="33"/>
      <c r="E643" s="33"/>
      <c r="F643" s="33"/>
      <c r="G643" s="33"/>
      <c r="H643" s="33"/>
      <c r="I643" s="33"/>
    </row>
    <row r="644" spans="1:9" s="54" customFormat="1" ht="11.4" customHeight="1" x14ac:dyDescent="0.3">
      <c r="A644" s="33"/>
      <c r="B644" s="33"/>
      <c r="C644" s="33"/>
      <c r="D644" s="33"/>
      <c r="E644" s="33"/>
      <c r="F644" s="33"/>
      <c r="G644" s="33"/>
      <c r="H644" s="33"/>
      <c r="I644" s="33"/>
    </row>
    <row r="645" spans="1:9" s="54" customFormat="1" ht="11.4" customHeight="1" x14ac:dyDescent="0.3">
      <c r="A645" s="33"/>
      <c r="B645" s="33"/>
      <c r="C645" s="33"/>
      <c r="D645" s="33"/>
      <c r="E645" s="33"/>
      <c r="F645" s="33"/>
      <c r="G645" s="33"/>
      <c r="H645" s="33"/>
      <c r="I645" s="33"/>
    </row>
    <row r="646" spans="1:9" s="54" customFormat="1" ht="11.4" customHeight="1" x14ac:dyDescent="0.3">
      <c r="A646" s="33"/>
      <c r="B646" s="33"/>
      <c r="C646" s="33"/>
      <c r="D646" s="33"/>
      <c r="E646" s="33"/>
      <c r="F646" s="33"/>
      <c r="G646" s="33"/>
      <c r="H646" s="33"/>
      <c r="I646" s="33"/>
    </row>
    <row r="647" spans="1:9" s="54" customFormat="1" ht="11.4" customHeight="1" x14ac:dyDescent="0.3">
      <c r="A647" s="33"/>
      <c r="B647" s="33"/>
      <c r="C647" s="33"/>
      <c r="D647" s="33"/>
      <c r="E647" s="33"/>
      <c r="F647" s="33"/>
      <c r="G647" s="33"/>
      <c r="H647" s="33"/>
      <c r="I647" s="33"/>
    </row>
    <row r="648" spans="1:9" s="54" customFormat="1" ht="11.4" customHeight="1" x14ac:dyDescent="0.3">
      <c r="A648" s="33"/>
      <c r="B648" s="33"/>
      <c r="C648" s="33"/>
      <c r="D648" s="33"/>
      <c r="E648" s="33"/>
      <c r="F648" s="33"/>
      <c r="G648" s="33"/>
      <c r="H648" s="33"/>
      <c r="I648" s="33"/>
    </row>
    <row r="649" spans="1:9" s="54" customFormat="1" ht="11.4" customHeight="1" x14ac:dyDescent="0.3">
      <c r="A649" s="33"/>
      <c r="B649" s="33"/>
      <c r="C649" s="33"/>
      <c r="D649" s="33"/>
      <c r="E649" s="33"/>
      <c r="F649" s="33"/>
      <c r="G649" s="33"/>
      <c r="H649" s="33"/>
      <c r="I649" s="33"/>
    </row>
    <row r="650" spans="1:9" s="54" customFormat="1" ht="11.4" customHeight="1" x14ac:dyDescent="0.3">
      <c r="A650" s="33"/>
      <c r="B650" s="33"/>
      <c r="C650" s="33"/>
      <c r="D650" s="33"/>
      <c r="E650" s="33"/>
      <c r="F650" s="33"/>
      <c r="G650" s="33"/>
      <c r="H650" s="33"/>
      <c r="I650" s="33"/>
    </row>
    <row r="651" spans="1:9" s="54" customFormat="1" ht="11.4" customHeight="1" x14ac:dyDescent="0.3">
      <c r="A651" s="33"/>
      <c r="B651" s="33"/>
      <c r="C651" s="33"/>
      <c r="D651" s="33"/>
      <c r="E651" s="33"/>
      <c r="F651" s="33"/>
      <c r="G651" s="33"/>
      <c r="H651" s="33"/>
      <c r="I651" s="33"/>
    </row>
    <row r="652" spans="1:9" s="54" customFormat="1" ht="11.4" customHeight="1" x14ac:dyDescent="0.3">
      <c r="A652" s="33"/>
      <c r="B652" s="33"/>
      <c r="C652" s="33"/>
      <c r="D652" s="33"/>
      <c r="E652" s="33"/>
      <c r="F652" s="33"/>
      <c r="G652" s="33"/>
      <c r="H652" s="33"/>
      <c r="I652" s="33"/>
    </row>
    <row r="653" spans="1:9" s="54" customFormat="1" ht="11.4" customHeight="1" x14ac:dyDescent="0.3">
      <c r="A653" s="33"/>
      <c r="B653" s="33"/>
      <c r="C653" s="33"/>
      <c r="D653" s="33"/>
      <c r="E653" s="33"/>
      <c r="F653" s="33"/>
      <c r="G653" s="33"/>
      <c r="H653" s="33"/>
      <c r="I653" s="33"/>
    </row>
    <row r="654" spans="1:9" s="54" customFormat="1" ht="11.4" customHeight="1" x14ac:dyDescent="0.3">
      <c r="A654" s="33"/>
      <c r="B654" s="33"/>
      <c r="C654" s="33"/>
      <c r="D654" s="33"/>
      <c r="E654" s="33"/>
      <c r="F654" s="33"/>
      <c r="G654" s="33"/>
      <c r="H654" s="33"/>
      <c r="I654" s="33"/>
    </row>
    <row r="655" spans="1:9" s="54" customFormat="1" ht="11.4" customHeight="1" x14ac:dyDescent="0.3">
      <c r="A655" s="33"/>
      <c r="B655" s="33"/>
      <c r="C655" s="33"/>
      <c r="D655" s="33"/>
      <c r="E655" s="33"/>
      <c r="F655" s="33"/>
      <c r="G655" s="33"/>
      <c r="H655" s="33"/>
      <c r="I655" s="33"/>
    </row>
    <row r="656" spans="1:9" s="54" customFormat="1" ht="11.4" customHeight="1" x14ac:dyDescent="0.3">
      <c r="A656" s="33"/>
      <c r="B656" s="33"/>
      <c r="C656" s="33"/>
      <c r="D656" s="33"/>
      <c r="E656" s="33"/>
      <c r="F656" s="33"/>
      <c r="G656" s="33"/>
      <c r="H656" s="33"/>
      <c r="I656" s="33"/>
    </row>
    <row r="657" spans="1:9" s="54" customFormat="1" ht="11.4" customHeight="1" x14ac:dyDescent="0.3">
      <c r="A657" s="33"/>
      <c r="B657" s="33"/>
      <c r="C657" s="33"/>
      <c r="D657" s="33"/>
      <c r="E657" s="33"/>
      <c r="F657" s="33"/>
      <c r="G657" s="33"/>
      <c r="H657" s="33"/>
      <c r="I657" s="33"/>
    </row>
    <row r="658" spans="1:9" s="54" customFormat="1" ht="11.4" customHeight="1" x14ac:dyDescent="0.3">
      <c r="A658" s="33"/>
      <c r="B658" s="33"/>
      <c r="C658" s="33"/>
      <c r="D658" s="33"/>
      <c r="E658" s="33"/>
      <c r="F658" s="33"/>
      <c r="G658" s="33"/>
      <c r="H658" s="33"/>
      <c r="I658" s="33"/>
    </row>
    <row r="659" spans="1:9" s="54" customFormat="1" ht="11.4" customHeight="1" x14ac:dyDescent="0.3">
      <c r="A659" s="33"/>
      <c r="B659" s="33"/>
      <c r="C659" s="33"/>
      <c r="D659" s="33"/>
      <c r="E659" s="33"/>
      <c r="F659" s="33"/>
      <c r="G659" s="33"/>
      <c r="H659" s="33"/>
      <c r="I659" s="33"/>
    </row>
    <row r="660" spans="1:9" s="54" customFormat="1" ht="11.4" customHeight="1" x14ac:dyDescent="0.3">
      <c r="A660" s="33"/>
      <c r="B660" s="33"/>
      <c r="C660" s="33"/>
      <c r="D660" s="33"/>
      <c r="E660" s="33"/>
      <c r="F660" s="33"/>
      <c r="G660" s="33"/>
      <c r="H660" s="33"/>
      <c r="I660" s="33"/>
    </row>
    <row r="661" spans="1:9" s="54" customFormat="1" ht="11.4" customHeight="1" x14ac:dyDescent="0.3">
      <c r="A661" s="33"/>
      <c r="B661" s="33"/>
      <c r="C661" s="33"/>
      <c r="D661" s="33"/>
      <c r="E661" s="33"/>
      <c r="F661" s="33"/>
      <c r="G661" s="33"/>
      <c r="H661" s="33"/>
      <c r="I661" s="33"/>
    </row>
    <row r="662" spans="1:9" s="54" customFormat="1" ht="11.4" customHeight="1" x14ac:dyDescent="0.3">
      <c r="A662" s="33"/>
      <c r="B662" s="33"/>
      <c r="C662" s="33"/>
      <c r="D662" s="33"/>
      <c r="E662" s="33"/>
      <c r="F662" s="33"/>
      <c r="G662" s="33"/>
      <c r="H662" s="33"/>
      <c r="I662" s="33"/>
    </row>
    <row r="663" spans="1:9" s="54" customFormat="1" ht="11.4" customHeight="1" x14ac:dyDescent="0.3">
      <c r="A663" s="33"/>
      <c r="B663" s="33"/>
      <c r="C663" s="33"/>
      <c r="D663" s="33"/>
      <c r="E663" s="33"/>
      <c r="F663" s="33"/>
      <c r="G663" s="33"/>
      <c r="H663" s="33"/>
      <c r="I663" s="33"/>
    </row>
    <row r="664" spans="1:9" s="54" customFormat="1" ht="11.4" customHeight="1" x14ac:dyDescent="0.3">
      <c r="A664" s="33"/>
      <c r="B664" s="33"/>
      <c r="C664" s="33"/>
      <c r="D664" s="33"/>
      <c r="E664" s="33"/>
      <c r="F664" s="33"/>
      <c r="G664" s="33"/>
      <c r="H664" s="33"/>
      <c r="I664" s="33"/>
    </row>
    <row r="665" spans="1:9" s="54" customFormat="1" ht="11.4" customHeight="1" x14ac:dyDescent="0.3">
      <c r="A665" s="33"/>
      <c r="B665" s="33"/>
      <c r="C665" s="33"/>
      <c r="D665" s="33"/>
      <c r="E665" s="33"/>
      <c r="F665" s="33"/>
      <c r="G665" s="33"/>
      <c r="H665" s="33"/>
      <c r="I665" s="33"/>
    </row>
    <row r="666" spans="1:9" s="54" customFormat="1" ht="11.4" customHeight="1" x14ac:dyDescent="0.3">
      <c r="A666" s="33"/>
      <c r="B666" s="33"/>
      <c r="C666" s="33"/>
      <c r="D666" s="33"/>
      <c r="E666" s="33"/>
      <c r="F666" s="33"/>
      <c r="G666" s="33"/>
      <c r="H666" s="33"/>
      <c r="I666" s="33"/>
    </row>
    <row r="667" spans="1:9" s="54" customFormat="1" ht="11.4" customHeight="1" x14ac:dyDescent="0.3">
      <c r="A667" s="33"/>
      <c r="B667" s="33"/>
      <c r="C667" s="33"/>
      <c r="D667" s="33"/>
      <c r="E667" s="33"/>
      <c r="F667" s="33"/>
      <c r="G667" s="33"/>
      <c r="H667" s="33"/>
      <c r="I667" s="33"/>
    </row>
    <row r="668" spans="1:9" s="54" customFormat="1" ht="11.4" customHeight="1" x14ac:dyDescent="0.3">
      <c r="A668" s="33"/>
      <c r="B668" s="33"/>
      <c r="C668" s="33"/>
      <c r="D668" s="33"/>
      <c r="E668" s="33"/>
      <c r="F668" s="33"/>
      <c r="G668" s="33"/>
      <c r="H668" s="33"/>
      <c r="I668" s="33"/>
    </row>
    <row r="669" spans="1:9" s="54" customFormat="1" ht="11.4" customHeight="1" x14ac:dyDescent="0.3">
      <c r="A669" s="33"/>
      <c r="B669" s="33"/>
      <c r="C669" s="33"/>
      <c r="D669" s="33"/>
      <c r="E669" s="33"/>
      <c r="F669" s="33"/>
      <c r="G669" s="33"/>
      <c r="H669" s="33"/>
      <c r="I669" s="33"/>
    </row>
    <row r="670" spans="1:9" s="54" customFormat="1" ht="11.4" customHeight="1" x14ac:dyDescent="0.3">
      <c r="A670" s="33"/>
      <c r="B670" s="33"/>
      <c r="C670" s="33"/>
      <c r="D670" s="33"/>
      <c r="E670" s="33"/>
      <c r="F670" s="33"/>
      <c r="G670" s="33"/>
      <c r="H670" s="33"/>
      <c r="I670" s="33"/>
    </row>
    <row r="671" spans="1:9" s="54" customFormat="1" ht="11.4" customHeight="1" x14ac:dyDescent="0.3">
      <c r="A671" s="33"/>
      <c r="B671" s="33"/>
      <c r="C671" s="33"/>
      <c r="D671" s="33"/>
      <c r="E671" s="33"/>
      <c r="F671" s="33"/>
      <c r="G671" s="33"/>
      <c r="H671" s="33"/>
      <c r="I671" s="33"/>
    </row>
    <row r="672" spans="1:9" s="54" customFormat="1" ht="11.4" customHeight="1" x14ac:dyDescent="0.3">
      <c r="A672" s="33"/>
      <c r="B672" s="33"/>
      <c r="C672" s="33"/>
      <c r="D672" s="33"/>
      <c r="E672" s="33"/>
      <c r="F672" s="33"/>
      <c r="G672" s="33"/>
      <c r="H672" s="33"/>
      <c r="I672" s="33"/>
    </row>
    <row r="673" spans="1:9" s="54" customFormat="1" ht="11.4" customHeight="1" x14ac:dyDescent="0.3">
      <c r="A673" s="33"/>
      <c r="B673" s="33"/>
      <c r="C673" s="33"/>
      <c r="D673" s="33"/>
      <c r="E673" s="33"/>
      <c r="F673" s="33"/>
      <c r="G673" s="33"/>
      <c r="H673" s="33"/>
      <c r="I673" s="33"/>
    </row>
    <row r="674" spans="1:9" s="54" customFormat="1" ht="11.4" customHeight="1" x14ac:dyDescent="0.3">
      <c r="A674" s="33"/>
      <c r="B674" s="33"/>
      <c r="C674" s="33"/>
      <c r="D674" s="33"/>
      <c r="E674" s="33"/>
      <c r="F674" s="33"/>
      <c r="G674" s="33"/>
      <c r="H674" s="33"/>
      <c r="I674" s="33"/>
    </row>
    <row r="675" spans="1:9" s="54" customFormat="1" ht="11.4" customHeight="1" x14ac:dyDescent="0.3">
      <c r="A675" s="33"/>
      <c r="B675" s="33"/>
      <c r="C675" s="33"/>
      <c r="D675" s="33"/>
      <c r="E675" s="33"/>
      <c r="F675" s="33"/>
      <c r="G675" s="33"/>
      <c r="H675" s="33"/>
      <c r="I675" s="33"/>
    </row>
    <row r="676" spans="1:9" s="54" customFormat="1" ht="11.4" customHeight="1" x14ac:dyDescent="0.3">
      <c r="A676" s="33"/>
      <c r="B676" s="33"/>
      <c r="C676" s="33"/>
      <c r="D676" s="33"/>
      <c r="E676" s="33"/>
      <c r="F676" s="33"/>
      <c r="G676" s="33"/>
      <c r="H676" s="33"/>
      <c r="I676" s="33"/>
    </row>
    <row r="677" spans="1:9" s="54" customFormat="1" ht="11.4" customHeight="1" x14ac:dyDescent="0.3">
      <c r="A677" s="33"/>
      <c r="B677" s="33"/>
      <c r="C677" s="33"/>
      <c r="D677" s="33"/>
      <c r="E677" s="33"/>
      <c r="F677" s="33"/>
      <c r="G677" s="33"/>
      <c r="H677" s="33"/>
      <c r="I677" s="33"/>
    </row>
    <row r="678" spans="1:9" s="54" customFormat="1" ht="11.4" customHeight="1" x14ac:dyDescent="0.3">
      <c r="A678" s="33"/>
      <c r="B678" s="33"/>
      <c r="C678" s="33"/>
      <c r="D678" s="33"/>
      <c r="E678" s="33"/>
      <c r="F678" s="33"/>
      <c r="G678" s="33"/>
      <c r="H678" s="33"/>
      <c r="I678" s="33"/>
    </row>
    <row r="679" spans="1:9" s="54" customFormat="1" ht="11.4" customHeight="1" x14ac:dyDescent="0.3">
      <c r="A679" s="33"/>
      <c r="B679" s="33"/>
      <c r="C679" s="33"/>
      <c r="D679" s="33"/>
      <c r="E679" s="33"/>
      <c r="F679" s="33"/>
      <c r="G679" s="33"/>
      <c r="H679" s="33"/>
      <c r="I679" s="33"/>
    </row>
    <row r="680" spans="1:9" s="54" customFormat="1" ht="11.4" customHeight="1" x14ac:dyDescent="0.3">
      <c r="A680" s="33"/>
      <c r="B680" s="33"/>
      <c r="C680" s="33"/>
      <c r="D680" s="33"/>
      <c r="E680" s="33"/>
      <c r="F680" s="33"/>
      <c r="G680" s="33"/>
      <c r="H680" s="33"/>
      <c r="I680" s="33"/>
    </row>
    <row r="681" spans="1:9" s="54" customFormat="1" ht="11.4" customHeight="1" x14ac:dyDescent="0.3">
      <c r="A681" s="33"/>
      <c r="B681" s="33"/>
      <c r="C681" s="33"/>
      <c r="D681" s="33"/>
      <c r="E681" s="33"/>
      <c r="F681" s="33"/>
      <c r="G681" s="33"/>
      <c r="H681" s="33"/>
      <c r="I681" s="33"/>
    </row>
    <row r="682" spans="1:9" s="54" customFormat="1" ht="11.4" customHeight="1" x14ac:dyDescent="0.3">
      <c r="A682" s="33"/>
      <c r="B682" s="33"/>
      <c r="C682" s="33"/>
      <c r="D682" s="33"/>
      <c r="E682" s="33"/>
      <c r="F682" s="33"/>
      <c r="G682" s="33"/>
      <c r="H682" s="33"/>
      <c r="I682" s="33"/>
    </row>
    <row r="683" spans="1:9" s="54" customFormat="1" ht="11.4" customHeight="1" x14ac:dyDescent="0.3">
      <c r="A683" s="33"/>
      <c r="B683" s="33"/>
      <c r="C683" s="33"/>
      <c r="D683" s="33"/>
      <c r="E683" s="33"/>
      <c r="F683" s="33"/>
      <c r="G683" s="33"/>
      <c r="H683" s="33"/>
      <c r="I683" s="33"/>
    </row>
    <row r="684" spans="1:9" s="54" customFormat="1" ht="11.4" customHeight="1" x14ac:dyDescent="0.3">
      <c r="A684" s="33"/>
      <c r="B684" s="33"/>
      <c r="C684" s="33"/>
      <c r="D684" s="33"/>
      <c r="E684" s="33"/>
      <c r="F684" s="33"/>
      <c r="G684" s="33"/>
      <c r="H684" s="33"/>
      <c r="I684" s="33"/>
    </row>
    <row r="685" spans="1:9" s="54" customFormat="1" ht="11.4" customHeight="1" x14ac:dyDescent="0.3">
      <c r="A685" s="33"/>
      <c r="B685" s="33"/>
      <c r="C685" s="33"/>
      <c r="D685" s="33"/>
      <c r="E685" s="33"/>
      <c r="F685" s="33"/>
      <c r="G685" s="33"/>
      <c r="H685" s="33"/>
      <c r="I685" s="33"/>
    </row>
    <row r="686" spans="1:9" s="54" customFormat="1" ht="11.4" customHeight="1" x14ac:dyDescent="0.3">
      <c r="A686" s="33"/>
      <c r="B686" s="33"/>
      <c r="C686" s="33"/>
      <c r="D686" s="33"/>
      <c r="E686" s="33"/>
      <c r="F686" s="33"/>
      <c r="G686" s="33"/>
      <c r="H686" s="33"/>
      <c r="I686" s="33"/>
    </row>
    <row r="687" spans="1:9" s="54" customFormat="1" ht="11.4" customHeight="1" x14ac:dyDescent="0.3">
      <c r="A687" s="33"/>
      <c r="B687" s="33"/>
      <c r="C687" s="33"/>
      <c r="D687" s="33"/>
      <c r="E687" s="33"/>
      <c r="F687" s="33"/>
      <c r="G687" s="33"/>
      <c r="H687" s="33"/>
      <c r="I687" s="33"/>
    </row>
    <row r="688" spans="1:9" s="54" customFormat="1" ht="11.4" customHeight="1" x14ac:dyDescent="0.3">
      <c r="A688" s="33"/>
      <c r="B688" s="33"/>
      <c r="C688" s="33"/>
      <c r="D688" s="33"/>
      <c r="E688" s="33"/>
      <c r="F688" s="33"/>
      <c r="G688" s="33"/>
      <c r="H688" s="33"/>
      <c r="I688" s="33"/>
    </row>
    <row r="689" spans="1:9" s="54" customFormat="1" ht="11.4" customHeight="1" x14ac:dyDescent="0.3">
      <c r="A689" s="33"/>
      <c r="B689" s="33"/>
      <c r="C689" s="33"/>
      <c r="D689" s="33"/>
      <c r="E689" s="33"/>
      <c r="F689" s="33"/>
      <c r="G689" s="33"/>
      <c r="H689" s="33"/>
      <c r="I689" s="33"/>
    </row>
    <row r="690" spans="1:9" s="54" customFormat="1" ht="11.4" customHeight="1" x14ac:dyDescent="0.3">
      <c r="A690" s="33"/>
      <c r="B690" s="33"/>
      <c r="C690" s="33"/>
      <c r="D690" s="33"/>
      <c r="E690" s="33"/>
      <c r="F690" s="33"/>
      <c r="G690" s="33"/>
      <c r="H690" s="33"/>
      <c r="I690" s="33"/>
    </row>
    <row r="691" spans="1:9" s="54" customFormat="1" ht="11.4" customHeight="1" x14ac:dyDescent="0.3">
      <c r="A691" s="33"/>
      <c r="B691" s="33"/>
      <c r="C691" s="33"/>
      <c r="D691" s="33"/>
      <c r="E691" s="33"/>
      <c r="F691" s="33"/>
      <c r="G691" s="33"/>
      <c r="H691" s="33"/>
      <c r="I691" s="33"/>
    </row>
    <row r="692" spans="1:9" s="54" customFormat="1" ht="11.4" customHeight="1" x14ac:dyDescent="0.3">
      <c r="A692" s="33"/>
      <c r="B692" s="33"/>
      <c r="C692" s="33"/>
      <c r="D692" s="33"/>
      <c r="E692" s="33"/>
      <c r="F692" s="33"/>
      <c r="G692" s="33"/>
      <c r="H692" s="33"/>
      <c r="I692" s="33"/>
    </row>
    <row r="693" spans="1:9" s="54" customFormat="1" ht="11.4" customHeight="1" x14ac:dyDescent="0.3">
      <c r="A693" s="33"/>
      <c r="B693" s="33"/>
      <c r="C693" s="33"/>
      <c r="D693" s="33"/>
      <c r="E693" s="33"/>
      <c r="F693" s="33"/>
      <c r="G693" s="33"/>
      <c r="H693" s="33"/>
      <c r="I693" s="33"/>
    </row>
    <row r="694" spans="1:9" s="54" customFormat="1" ht="11.4" customHeight="1" x14ac:dyDescent="0.3">
      <c r="A694" s="33"/>
      <c r="B694" s="33"/>
      <c r="C694" s="33"/>
      <c r="D694" s="33"/>
      <c r="E694" s="33"/>
      <c r="F694" s="33"/>
      <c r="G694" s="33"/>
      <c r="H694" s="33"/>
      <c r="I694" s="33"/>
    </row>
    <row r="695" spans="1:9" s="54" customFormat="1" ht="11.4" customHeight="1" x14ac:dyDescent="0.3">
      <c r="A695" s="33"/>
      <c r="B695" s="33"/>
      <c r="C695" s="33"/>
      <c r="D695" s="33"/>
      <c r="E695" s="33"/>
      <c r="F695" s="33"/>
      <c r="G695" s="33"/>
      <c r="H695" s="33"/>
      <c r="I695" s="33"/>
    </row>
    <row r="696" spans="1:9" s="54" customFormat="1" ht="11.4" customHeight="1" x14ac:dyDescent="0.3">
      <c r="A696" s="33"/>
      <c r="B696" s="33"/>
      <c r="C696" s="33"/>
      <c r="D696" s="33"/>
      <c r="E696" s="33"/>
      <c r="F696" s="33"/>
      <c r="G696" s="33"/>
      <c r="H696" s="33"/>
      <c r="I696" s="33"/>
    </row>
    <row r="697" spans="1:9" s="54" customFormat="1" ht="11.4" customHeight="1" x14ac:dyDescent="0.3">
      <c r="A697" s="33"/>
      <c r="B697" s="33"/>
      <c r="C697" s="33"/>
      <c r="D697" s="33"/>
      <c r="E697" s="33"/>
      <c r="F697" s="33"/>
      <c r="G697" s="33"/>
      <c r="H697" s="33"/>
      <c r="I697" s="33"/>
    </row>
    <row r="698" spans="1:9" s="54" customFormat="1" ht="11.4" customHeight="1" x14ac:dyDescent="0.3">
      <c r="A698" s="33"/>
      <c r="B698" s="33"/>
      <c r="C698" s="33"/>
      <c r="D698" s="33"/>
      <c r="E698" s="33"/>
      <c r="F698" s="33"/>
      <c r="G698" s="33"/>
      <c r="H698" s="33"/>
      <c r="I698" s="33"/>
    </row>
    <row r="699" spans="1:9" s="54" customFormat="1" ht="11.4" customHeight="1" x14ac:dyDescent="0.3">
      <c r="A699" s="33"/>
      <c r="B699" s="33"/>
      <c r="C699" s="33"/>
      <c r="D699" s="33"/>
      <c r="E699" s="33"/>
      <c r="F699" s="33"/>
      <c r="G699" s="33"/>
      <c r="H699" s="33"/>
      <c r="I699" s="33"/>
    </row>
    <row r="700" spans="1:9" s="54" customFormat="1" ht="11.4" customHeight="1" x14ac:dyDescent="0.3">
      <c r="A700" s="33"/>
      <c r="B700" s="33"/>
      <c r="C700" s="33"/>
      <c r="D700" s="33"/>
      <c r="E700" s="33"/>
      <c r="F700" s="33"/>
      <c r="G700" s="33"/>
      <c r="H700" s="33"/>
      <c r="I700" s="33"/>
    </row>
    <row r="701" spans="1:9" s="54" customFormat="1" ht="11.4" customHeight="1" x14ac:dyDescent="0.3">
      <c r="A701" s="33"/>
      <c r="B701" s="33"/>
      <c r="C701" s="33"/>
      <c r="D701" s="33"/>
      <c r="E701" s="33"/>
      <c r="F701" s="33"/>
      <c r="G701" s="33"/>
      <c r="H701" s="33"/>
      <c r="I701" s="33"/>
    </row>
    <row r="702" spans="1:9" s="54" customFormat="1" ht="11.4" customHeight="1" x14ac:dyDescent="0.3">
      <c r="A702" s="33"/>
      <c r="B702" s="33"/>
      <c r="C702" s="33"/>
      <c r="D702" s="33"/>
      <c r="E702" s="33"/>
      <c r="F702" s="33"/>
      <c r="G702" s="33"/>
      <c r="H702" s="33"/>
      <c r="I702" s="33"/>
    </row>
    <row r="703" spans="1:9" s="54" customFormat="1" ht="11.4" customHeight="1" x14ac:dyDescent="0.3">
      <c r="A703" s="33"/>
      <c r="B703" s="33"/>
      <c r="C703" s="33"/>
      <c r="D703" s="33"/>
      <c r="E703" s="33"/>
      <c r="F703" s="33"/>
      <c r="G703" s="33"/>
      <c r="H703" s="33"/>
      <c r="I703" s="33"/>
    </row>
    <row r="704" spans="1:9" s="54" customFormat="1" ht="11.4" customHeight="1" x14ac:dyDescent="0.3">
      <c r="A704" s="33"/>
      <c r="B704" s="33"/>
      <c r="C704" s="33"/>
      <c r="D704" s="33"/>
      <c r="E704" s="33"/>
      <c r="F704" s="33"/>
      <c r="G704" s="33"/>
      <c r="H704" s="33"/>
      <c r="I704" s="33"/>
    </row>
    <row r="705" spans="1:9" s="54" customFormat="1" ht="11.4" customHeight="1" x14ac:dyDescent="0.3">
      <c r="A705" s="33"/>
      <c r="B705" s="33"/>
      <c r="C705" s="33"/>
      <c r="D705" s="33"/>
      <c r="E705" s="33"/>
      <c r="F705" s="33"/>
      <c r="G705" s="33"/>
      <c r="H705" s="33"/>
      <c r="I705" s="33"/>
    </row>
    <row r="706" spans="1:9" s="54" customFormat="1" ht="11.4" customHeight="1" x14ac:dyDescent="0.3">
      <c r="A706" s="33"/>
      <c r="B706" s="33"/>
      <c r="C706" s="33"/>
      <c r="D706" s="33"/>
      <c r="E706" s="33"/>
      <c r="F706" s="33"/>
      <c r="G706" s="33"/>
      <c r="H706" s="33"/>
      <c r="I706" s="33"/>
    </row>
    <row r="707" spans="1:9" s="54" customFormat="1" ht="11.4" customHeight="1" x14ac:dyDescent="0.3">
      <c r="A707" s="33"/>
      <c r="B707" s="33"/>
      <c r="C707" s="33"/>
      <c r="D707" s="33"/>
      <c r="E707" s="33"/>
      <c r="F707" s="33"/>
      <c r="G707" s="33"/>
      <c r="H707" s="33"/>
      <c r="I707" s="33"/>
    </row>
    <row r="708" spans="1:9" s="54" customFormat="1" ht="11.4" customHeight="1" x14ac:dyDescent="0.3">
      <c r="A708" s="33"/>
      <c r="B708" s="33"/>
      <c r="C708" s="33"/>
      <c r="D708" s="33"/>
      <c r="E708" s="33"/>
      <c r="F708" s="33"/>
      <c r="G708" s="33"/>
      <c r="H708" s="33"/>
      <c r="I708" s="33"/>
    </row>
    <row r="709" spans="1:9" s="54" customFormat="1" ht="11.4" customHeight="1" x14ac:dyDescent="0.3">
      <c r="A709" s="33"/>
      <c r="B709" s="33"/>
      <c r="C709" s="33"/>
      <c r="D709" s="33"/>
      <c r="E709" s="33"/>
      <c r="F709" s="33"/>
      <c r="G709" s="33"/>
      <c r="H709" s="33"/>
      <c r="I709" s="33"/>
    </row>
    <row r="710" spans="1:9" s="54" customFormat="1" ht="11.4" customHeight="1" x14ac:dyDescent="0.3">
      <c r="A710" s="33"/>
      <c r="B710" s="33"/>
      <c r="C710" s="33"/>
      <c r="D710" s="33"/>
      <c r="E710" s="33"/>
      <c r="F710" s="33"/>
      <c r="G710" s="33"/>
      <c r="H710" s="33"/>
      <c r="I710" s="33"/>
    </row>
    <row r="711" spans="1:9" s="54" customFormat="1" ht="11.4" customHeight="1" x14ac:dyDescent="0.3">
      <c r="A711" s="33"/>
      <c r="B711" s="33"/>
      <c r="C711" s="33"/>
      <c r="D711" s="33"/>
      <c r="E711" s="33"/>
      <c r="F711" s="33"/>
      <c r="G711" s="33"/>
      <c r="H711" s="33"/>
      <c r="I711" s="33"/>
    </row>
    <row r="712" spans="1:9" s="54" customFormat="1" ht="11.4" customHeight="1" x14ac:dyDescent="0.3">
      <c r="A712" s="33"/>
      <c r="B712" s="33"/>
      <c r="C712" s="33"/>
      <c r="D712" s="33"/>
      <c r="E712" s="33"/>
      <c r="F712" s="33"/>
      <c r="G712" s="33"/>
      <c r="H712" s="33"/>
      <c r="I712" s="33"/>
    </row>
    <row r="713" spans="1:9" s="54" customFormat="1" ht="11.4" customHeight="1" x14ac:dyDescent="0.3">
      <c r="A713" s="33"/>
      <c r="B713" s="33"/>
      <c r="C713" s="33"/>
      <c r="D713" s="33"/>
      <c r="E713" s="33"/>
      <c r="F713" s="33"/>
      <c r="G713" s="33"/>
      <c r="H713" s="33"/>
      <c r="I713" s="33"/>
    </row>
    <row r="714" spans="1:9" s="54" customFormat="1" ht="11.4" customHeight="1" x14ac:dyDescent="0.3">
      <c r="A714" s="33"/>
      <c r="B714" s="33"/>
      <c r="C714" s="33"/>
      <c r="D714" s="33"/>
      <c r="E714" s="33"/>
      <c r="F714" s="33"/>
      <c r="G714" s="33"/>
      <c r="H714" s="33"/>
      <c r="I714" s="33"/>
    </row>
    <row r="715" spans="1:9" s="54" customFormat="1" ht="11.4" customHeight="1" x14ac:dyDescent="0.3">
      <c r="A715" s="33"/>
      <c r="B715" s="33"/>
      <c r="C715" s="33"/>
      <c r="D715" s="33"/>
      <c r="E715" s="33"/>
      <c r="F715" s="33"/>
      <c r="G715" s="33"/>
      <c r="H715" s="33"/>
      <c r="I715" s="33"/>
    </row>
    <row r="716" spans="1:9" s="54" customFormat="1" ht="11.4" customHeight="1" x14ac:dyDescent="0.3">
      <c r="A716" s="33"/>
      <c r="B716" s="33"/>
      <c r="C716" s="33"/>
      <c r="D716" s="33"/>
      <c r="E716" s="33"/>
      <c r="F716" s="33"/>
      <c r="G716" s="33"/>
      <c r="H716" s="33"/>
      <c r="I716" s="33"/>
    </row>
    <row r="717" spans="1:9" s="54" customFormat="1" ht="11.4" customHeight="1" x14ac:dyDescent="0.3">
      <c r="A717" s="33"/>
      <c r="B717" s="33"/>
      <c r="C717" s="33"/>
      <c r="D717" s="33"/>
      <c r="E717" s="33"/>
      <c r="F717" s="33"/>
      <c r="G717" s="33"/>
      <c r="H717" s="33"/>
      <c r="I717" s="33"/>
    </row>
    <row r="718" spans="1:9" s="54" customFormat="1" ht="11.4" customHeight="1" x14ac:dyDescent="0.3">
      <c r="A718" s="33"/>
      <c r="B718" s="33"/>
      <c r="C718" s="33"/>
      <c r="D718" s="33"/>
      <c r="E718" s="33"/>
      <c r="F718" s="33"/>
      <c r="G718" s="33"/>
      <c r="H718" s="33"/>
      <c r="I718" s="33"/>
    </row>
    <row r="719" spans="1:9" s="54" customFormat="1" ht="11.4" customHeight="1" x14ac:dyDescent="0.3">
      <c r="A719" s="33"/>
      <c r="B719" s="33"/>
      <c r="C719" s="33"/>
      <c r="D719" s="33"/>
      <c r="E719" s="33"/>
      <c r="F719" s="33"/>
      <c r="G719" s="33"/>
      <c r="H719" s="33"/>
      <c r="I719" s="33"/>
    </row>
    <row r="720" spans="1:9" s="54" customFormat="1" ht="11.4" customHeight="1" x14ac:dyDescent="0.3">
      <c r="A720" s="33"/>
      <c r="B720" s="33"/>
      <c r="C720" s="33"/>
      <c r="D720" s="33"/>
      <c r="E720" s="33"/>
      <c r="F720" s="33"/>
      <c r="G720" s="33"/>
      <c r="H720" s="33"/>
      <c r="I720" s="33"/>
    </row>
    <row r="721" spans="1:9" s="54" customFormat="1" ht="11.4" customHeight="1" x14ac:dyDescent="0.3">
      <c r="A721" s="33"/>
      <c r="B721" s="33"/>
      <c r="C721" s="33"/>
      <c r="D721" s="33"/>
      <c r="E721" s="33"/>
      <c r="F721" s="33"/>
      <c r="G721" s="33"/>
      <c r="H721" s="33"/>
      <c r="I721" s="33"/>
    </row>
    <row r="722" spans="1:9" s="54" customFormat="1" ht="11.4" customHeight="1" x14ac:dyDescent="0.3">
      <c r="A722" s="33"/>
      <c r="B722" s="33"/>
      <c r="C722" s="33"/>
      <c r="D722" s="33"/>
      <c r="E722" s="33"/>
      <c r="F722" s="33"/>
      <c r="G722" s="33"/>
      <c r="H722" s="33"/>
      <c r="I722" s="33"/>
    </row>
    <row r="723" spans="1:9" s="54" customFormat="1" ht="11.4" customHeight="1" x14ac:dyDescent="0.3">
      <c r="A723" s="33"/>
      <c r="B723" s="33"/>
      <c r="C723" s="33"/>
      <c r="D723" s="33"/>
      <c r="E723" s="33"/>
      <c r="F723" s="33"/>
      <c r="G723" s="33"/>
      <c r="H723" s="33"/>
      <c r="I723" s="33"/>
    </row>
    <row r="724" spans="1:9" s="54" customFormat="1" ht="11.4" customHeight="1" x14ac:dyDescent="0.3">
      <c r="A724" s="33"/>
      <c r="B724" s="33"/>
      <c r="C724" s="33"/>
      <c r="D724" s="33"/>
      <c r="E724" s="33"/>
      <c r="F724" s="33"/>
      <c r="G724" s="33"/>
      <c r="H724" s="33"/>
      <c r="I724" s="33"/>
    </row>
    <row r="725" spans="1:9" s="54" customFormat="1" ht="11.4" customHeight="1" x14ac:dyDescent="0.3">
      <c r="A725" s="33"/>
      <c r="B725" s="33"/>
      <c r="C725" s="33"/>
      <c r="D725" s="33"/>
      <c r="E725" s="33"/>
      <c r="F725" s="33"/>
      <c r="G725" s="33"/>
      <c r="H725" s="33"/>
      <c r="I725" s="33"/>
    </row>
    <row r="726" spans="1:9" s="54" customFormat="1" ht="11.4" customHeight="1" x14ac:dyDescent="0.3">
      <c r="A726" s="33"/>
      <c r="B726" s="33"/>
      <c r="C726" s="33"/>
      <c r="D726" s="33"/>
      <c r="E726" s="33"/>
      <c r="F726" s="33"/>
      <c r="G726" s="33"/>
      <c r="H726" s="33"/>
      <c r="I726" s="33"/>
    </row>
    <row r="727" spans="1:9" s="54" customFormat="1" ht="11.4" customHeight="1" x14ac:dyDescent="0.3">
      <c r="A727" s="33"/>
      <c r="B727" s="33"/>
      <c r="C727" s="33"/>
      <c r="D727" s="33"/>
      <c r="E727" s="33"/>
      <c r="F727" s="33"/>
      <c r="G727" s="33"/>
      <c r="H727" s="33"/>
      <c r="I727" s="33"/>
    </row>
    <row r="728" spans="1:9" s="54" customFormat="1" ht="11.4" customHeight="1" x14ac:dyDescent="0.3">
      <c r="A728" s="33"/>
      <c r="B728" s="33"/>
      <c r="C728" s="33"/>
      <c r="D728" s="33"/>
      <c r="E728" s="33"/>
      <c r="F728" s="33"/>
      <c r="G728" s="33"/>
      <c r="H728" s="33"/>
      <c r="I728" s="33"/>
    </row>
    <row r="729" spans="1:9" s="54" customFormat="1" ht="11.4" customHeight="1" x14ac:dyDescent="0.3">
      <c r="A729" s="33"/>
      <c r="B729" s="33"/>
      <c r="C729" s="33"/>
      <c r="D729" s="33"/>
      <c r="E729" s="33"/>
      <c r="F729" s="33"/>
      <c r="G729" s="33"/>
      <c r="H729" s="33"/>
      <c r="I729" s="33"/>
    </row>
    <row r="730" spans="1:9" s="54" customFormat="1" ht="11.4" customHeight="1" x14ac:dyDescent="0.3">
      <c r="A730" s="33"/>
      <c r="B730" s="33"/>
      <c r="C730" s="33"/>
      <c r="D730" s="33"/>
      <c r="E730" s="33"/>
      <c r="F730" s="33"/>
      <c r="G730" s="33"/>
      <c r="H730" s="33"/>
      <c r="I730" s="33"/>
    </row>
    <row r="731" spans="1:9" s="54" customFormat="1" ht="11.4" customHeight="1" x14ac:dyDescent="0.3">
      <c r="A731" s="33"/>
      <c r="B731" s="33"/>
      <c r="C731" s="33"/>
      <c r="D731" s="33"/>
      <c r="E731" s="33"/>
      <c r="F731" s="33"/>
      <c r="G731" s="33"/>
      <c r="H731" s="33"/>
      <c r="I731" s="33"/>
    </row>
    <row r="732" spans="1:9" s="54" customFormat="1" ht="11.4" customHeight="1" x14ac:dyDescent="0.3">
      <c r="A732" s="33"/>
      <c r="B732" s="33"/>
      <c r="C732" s="33"/>
      <c r="D732" s="33"/>
      <c r="E732" s="33"/>
      <c r="F732" s="33"/>
      <c r="G732" s="33"/>
      <c r="H732" s="33"/>
      <c r="I732" s="33"/>
    </row>
    <row r="733" spans="1:9" s="54" customFormat="1" ht="11.4" customHeight="1" x14ac:dyDescent="0.3">
      <c r="A733" s="33"/>
      <c r="B733" s="33"/>
      <c r="C733" s="33"/>
      <c r="D733" s="33"/>
      <c r="E733" s="33"/>
      <c r="F733" s="33"/>
      <c r="G733" s="33"/>
      <c r="H733" s="33"/>
      <c r="I733" s="33"/>
    </row>
    <row r="734" spans="1:9" s="54" customFormat="1" ht="11.4" customHeight="1" x14ac:dyDescent="0.3">
      <c r="A734" s="33"/>
      <c r="B734" s="33"/>
      <c r="C734" s="33"/>
      <c r="D734" s="33"/>
      <c r="E734" s="33"/>
      <c r="F734" s="33"/>
      <c r="G734" s="33"/>
      <c r="H734" s="33"/>
      <c r="I734" s="33"/>
    </row>
    <row r="735" spans="1:9" s="54" customFormat="1" ht="11.4" customHeight="1" x14ac:dyDescent="0.3">
      <c r="A735" s="33"/>
      <c r="B735" s="33"/>
      <c r="C735" s="33"/>
      <c r="D735" s="33"/>
      <c r="E735" s="33"/>
      <c r="F735" s="33"/>
      <c r="G735" s="33"/>
      <c r="H735" s="33"/>
      <c r="I735" s="33"/>
    </row>
    <row r="736" spans="1:9" s="54" customFormat="1" ht="11.4" customHeight="1" x14ac:dyDescent="0.3">
      <c r="A736" s="33"/>
      <c r="B736" s="33"/>
      <c r="C736" s="33"/>
      <c r="D736" s="33"/>
      <c r="E736" s="33"/>
      <c r="F736" s="33"/>
      <c r="G736" s="33"/>
      <c r="H736" s="33"/>
      <c r="I736" s="33"/>
    </row>
    <row r="737" spans="1:9" s="54" customFormat="1" ht="11.4" customHeight="1" x14ac:dyDescent="0.3">
      <c r="A737" s="33"/>
      <c r="B737" s="33"/>
      <c r="C737" s="33"/>
      <c r="D737" s="33"/>
      <c r="E737" s="33"/>
      <c r="F737" s="33"/>
      <c r="G737" s="33"/>
      <c r="H737" s="33"/>
      <c r="I737" s="33"/>
    </row>
    <row r="738" spans="1:9" s="54" customFormat="1" ht="11.4" customHeight="1" x14ac:dyDescent="0.3">
      <c r="A738" s="33"/>
      <c r="B738" s="33"/>
      <c r="C738" s="33"/>
      <c r="D738" s="33"/>
      <c r="E738" s="33"/>
      <c r="F738" s="33"/>
      <c r="G738" s="33"/>
      <c r="H738" s="33"/>
      <c r="I738" s="33"/>
    </row>
    <row r="739" spans="1:9" s="54" customFormat="1" ht="11.4" customHeight="1" x14ac:dyDescent="0.3">
      <c r="A739" s="33"/>
      <c r="B739" s="33"/>
      <c r="C739" s="33"/>
      <c r="D739" s="33"/>
      <c r="E739" s="33"/>
      <c r="F739" s="33"/>
      <c r="G739" s="33"/>
      <c r="H739" s="33"/>
      <c r="I739" s="33"/>
    </row>
    <row r="740" spans="1:9" s="54" customFormat="1" ht="11.4" customHeight="1" x14ac:dyDescent="0.3">
      <c r="A740" s="33"/>
      <c r="B740" s="33"/>
      <c r="C740" s="33"/>
      <c r="D740" s="33"/>
      <c r="E740" s="33"/>
      <c r="F740" s="33"/>
      <c r="G740" s="33"/>
      <c r="H740" s="33"/>
      <c r="I740" s="33"/>
    </row>
    <row r="741" spans="1:9" s="54" customFormat="1" ht="11.4" customHeight="1" x14ac:dyDescent="0.3">
      <c r="A741" s="33"/>
      <c r="B741" s="33"/>
      <c r="C741" s="33"/>
      <c r="D741" s="33"/>
      <c r="E741" s="33"/>
      <c r="F741" s="33"/>
      <c r="G741" s="33"/>
      <c r="H741" s="33"/>
      <c r="I741" s="33"/>
    </row>
    <row r="742" spans="1:9" s="54" customFormat="1" ht="11.4" customHeight="1" x14ac:dyDescent="0.3">
      <c r="A742" s="33"/>
      <c r="B742" s="33"/>
      <c r="C742" s="33"/>
      <c r="D742" s="33"/>
      <c r="E742" s="33"/>
      <c r="F742" s="33"/>
      <c r="G742" s="33"/>
      <c r="H742" s="33"/>
      <c r="I742" s="33"/>
    </row>
    <row r="743" spans="1:9" s="54" customFormat="1" ht="11.4" customHeight="1" x14ac:dyDescent="0.3">
      <c r="A743" s="33"/>
      <c r="B743" s="33"/>
      <c r="C743" s="33"/>
      <c r="D743" s="33"/>
      <c r="E743" s="33"/>
      <c r="F743" s="33"/>
      <c r="G743" s="33"/>
      <c r="H743" s="33"/>
      <c r="I743" s="33"/>
    </row>
    <row r="744" spans="1:9" s="54" customFormat="1" ht="11.4" customHeight="1" x14ac:dyDescent="0.3">
      <c r="A744" s="33"/>
      <c r="B744" s="33"/>
      <c r="C744" s="33"/>
      <c r="D744" s="33"/>
      <c r="E744" s="33"/>
      <c r="F744" s="33"/>
      <c r="G744" s="33"/>
      <c r="H744" s="33"/>
      <c r="I744" s="33"/>
    </row>
    <row r="745" spans="1:9" s="54" customFormat="1" ht="11.4" customHeight="1" x14ac:dyDescent="0.3">
      <c r="A745" s="33"/>
      <c r="B745" s="33"/>
      <c r="C745" s="33"/>
      <c r="D745" s="33"/>
      <c r="E745" s="33"/>
      <c r="F745" s="33"/>
      <c r="G745" s="33"/>
      <c r="H745" s="33"/>
      <c r="I745" s="33"/>
    </row>
    <row r="746" spans="1:9" s="54" customFormat="1" ht="11.4" customHeight="1" x14ac:dyDescent="0.3">
      <c r="A746" s="33"/>
      <c r="B746" s="33"/>
      <c r="C746" s="33"/>
      <c r="D746" s="33"/>
      <c r="E746" s="33"/>
      <c r="F746" s="33"/>
      <c r="G746" s="33"/>
      <c r="H746" s="33"/>
      <c r="I746" s="33"/>
    </row>
    <row r="747" spans="1:9" s="54" customFormat="1" ht="11.4" customHeight="1" x14ac:dyDescent="0.3">
      <c r="A747" s="33"/>
      <c r="B747" s="33"/>
      <c r="C747" s="33"/>
      <c r="D747" s="33"/>
      <c r="E747" s="33"/>
      <c r="F747" s="33"/>
      <c r="G747" s="33"/>
      <c r="H747" s="33"/>
      <c r="I747" s="33"/>
    </row>
    <row r="748" spans="1:9" s="54" customFormat="1" ht="11.4" customHeight="1" x14ac:dyDescent="0.3">
      <c r="A748" s="33"/>
      <c r="B748" s="33"/>
      <c r="C748" s="33"/>
      <c r="D748" s="33"/>
      <c r="E748" s="33"/>
      <c r="F748" s="33"/>
      <c r="G748" s="33"/>
      <c r="H748" s="33"/>
      <c r="I748" s="33"/>
    </row>
    <row r="749" spans="1:9" s="54" customFormat="1" ht="11.4" customHeight="1" x14ac:dyDescent="0.3">
      <c r="A749" s="33"/>
      <c r="B749" s="33"/>
      <c r="C749" s="33"/>
      <c r="D749" s="33"/>
      <c r="E749" s="33"/>
      <c r="F749" s="33"/>
      <c r="G749" s="33"/>
      <c r="H749" s="33"/>
      <c r="I749" s="33"/>
    </row>
    <row r="750" spans="1:9" s="54" customFormat="1" ht="11.4" customHeight="1" x14ac:dyDescent="0.3">
      <c r="A750" s="33"/>
      <c r="B750" s="33"/>
      <c r="C750" s="33"/>
      <c r="D750" s="33"/>
      <c r="E750" s="33"/>
      <c r="F750" s="33"/>
      <c r="G750" s="33"/>
      <c r="H750" s="33"/>
      <c r="I750" s="33"/>
    </row>
    <row r="751" spans="1:9" s="54" customFormat="1" ht="11.4" customHeight="1" x14ac:dyDescent="0.3">
      <c r="A751" s="33"/>
      <c r="B751" s="33"/>
      <c r="C751" s="33"/>
      <c r="D751" s="33"/>
      <c r="E751" s="33"/>
      <c r="F751" s="33"/>
      <c r="G751" s="33"/>
      <c r="H751" s="33"/>
      <c r="I751" s="33"/>
    </row>
    <row r="752" spans="1:9" s="54" customFormat="1" ht="11.4" customHeight="1" x14ac:dyDescent="0.3">
      <c r="A752" s="33"/>
      <c r="B752" s="33"/>
      <c r="C752" s="33"/>
      <c r="D752" s="33"/>
      <c r="E752" s="33"/>
      <c r="F752" s="33"/>
      <c r="G752" s="33"/>
      <c r="H752" s="33"/>
      <c r="I752" s="33"/>
    </row>
    <row r="753" spans="1:9" s="54" customFormat="1" ht="11.4" customHeight="1" x14ac:dyDescent="0.3">
      <c r="A753" s="33"/>
      <c r="B753" s="33"/>
      <c r="C753" s="33"/>
      <c r="D753" s="33"/>
      <c r="E753" s="33"/>
      <c r="F753" s="33"/>
      <c r="G753" s="33"/>
      <c r="H753" s="33"/>
      <c r="I753" s="33"/>
    </row>
    <row r="754" spans="1:9" s="54" customFormat="1" ht="11.4" customHeight="1" x14ac:dyDescent="0.3">
      <c r="A754" s="33"/>
      <c r="B754" s="33"/>
      <c r="C754" s="33"/>
      <c r="D754" s="33"/>
      <c r="E754" s="33"/>
      <c r="F754" s="33"/>
      <c r="G754" s="33"/>
      <c r="H754" s="33"/>
      <c r="I754" s="33"/>
    </row>
    <row r="755" spans="1:9" s="54" customFormat="1" ht="11.4" customHeight="1" x14ac:dyDescent="0.3">
      <c r="A755" s="33"/>
      <c r="B755" s="33"/>
      <c r="C755" s="33"/>
      <c r="D755" s="33"/>
      <c r="E755" s="33"/>
      <c r="F755" s="33"/>
      <c r="G755" s="33"/>
      <c r="H755" s="33"/>
      <c r="I755" s="33"/>
    </row>
    <row r="756" spans="1:9" s="54" customFormat="1" ht="11.4" customHeight="1" x14ac:dyDescent="0.3">
      <c r="A756" s="33"/>
      <c r="B756" s="33"/>
      <c r="C756" s="33"/>
      <c r="D756" s="33"/>
      <c r="E756" s="33"/>
      <c r="F756" s="33"/>
      <c r="G756" s="33"/>
      <c r="H756" s="33"/>
      <c r="I756" s="33"/>
    </row>
    <row r="757" spans="1:9" s="54" customFormat="1" ht="11.4" customHeight="1" x14ac:dyDescent="0.3">
      <c r="A757" s="33"/>
      <c r="B757" s="33"/>
      <c r="C757" s="33"/>
      <c r="D757" s="33"/>
      <c r="E757" s="33"/>
      <c r="F757" s="33"/>
      <c r="G757" s="33"/>
      <c r="H757" s="33"/>
      <c r="I757" s="33"/>
    </row>
    <row r="758" spans="1:9" s="54" customFormat="1" ht="11.4" customHeight="1" x14ac:dyDescent="0.3">
      <c r="A758" s="33"/>
      <c r="B758" s="33"/>
      <c r="C758" s="33"/>
      <c r="D758" s="33"/>
      <c r="E758" s="33"/>
      <c r="F758" s="33"/>
      <c r="G758" s="33"/>
      <c r="H758" s="33"/>
      <c r="I758" s="33"/>
    </row>
    <row r="759" spans="1:9" s="54" customFormat="1" ht="11.4" customHeight="1" x14ac:dyDescent="0.3">
      <c r="A759" s="33"/>
      <c r="B759" s="33"/>
      <c r="C759" s="33"/>
      <c r="D759" s="33"/>
      <c r="E759" s="33"/>
      <c r="F759" s="33"/>
      <c r="G759" s="33"/>
      <c r="H759" s="33"/>
      <c r="I759" s="33"/>
    </row>
    <row r="760" spans="1:9" s="54" customFormat="1" ht="11.4" customHeight="1" x14ac:dyDescent="0.3">
      <c r="A760" s="33"/>
      <c r="B760" s="33"/>
      <c r="C760" s="33"/>
      <c r="D760" s="33"/>
      <c r="E760" s="33"/>
      <c r="F760" s="33"/>
      <c r="G760" s="33"/>
      <c r="H760" s="33"/>
      <c r="I760" s="33"/>
    </row>
    <row r="761" spans="1:9" s="54" customFormat="1" ht="11.4" customHeight="1" x14ac:dyDescent="0.3">
      <c r="A761" s="33"/>
      <c r="B761" s="33"/>
      <c r="C761" s="33"/>
      <c r="D761" s="33"/>
      <c r="E761" s="33"/>
      <c r="F761" s="33"/>
      <c r="G761" s="33"/>
      <c r="H761" s="33"/>
      <c r="I761" s="33"/>
    </row>
    <row r="762" spans="1:9" s="54" customFormat="1" ht="11.4" customHeight="1" x14ac:dyDescent="0.3">
      <c r="A762" s="33"/>
      <c r="B762" s="33"/>
      <c r="C762" s="33"/>
      <c r="D762" s="33"/>
      <c r="E762" s="33"/>
      <c r="F762" s="33"/>
      <c r="G762" s="33"/>
      <c r="H762" s="33"/>
      <c r="I762" s="33"/>
    </row>
    <row r="763" spans="1:9" s="54" customFormat="1" ht="11.4" customHeight="1" x14ac:dyDescent="0.3">
      <c r="A763" s="33"/>
      <c r="B763" s="33"/>
      <c r="C763" s="33"/>
      <c r="D763" s="33"/>
      <c r="E763" s="33"/>
      <c r="F763" s="33"/>
      <c r="G763" s="33"/>
      <c r="H763" s="33"/>
      <c r="I763" s="33"/>
    </row>
    <row r="764" spans="1:9" s="54" customFormat="1" ht="11.4" customHeight="1" x14ac:dyDescent="0.3">
      <c r="A764" s="33"/>
      <c r="B764" s="33"/>
      <c r="C764" s="33"/>
      <c r="D764" s="33"/>
      <c r="E764" s="33"/>
      <c r="F764" s="33"/>
      <c r="G764" s="33"/>
      <c r="H764" s="33"/>
      <c r="I764" s="33"/>
    </row>
    <row r="765" spans="1:9" s="54" customFormat="1" ht="11.4" customHeight="1" x14ac:dyDescent="0.3">
      <c r="A765" s="33"/>
      <c r="B765" s="33"/>
      <c r="C765" s="33"/>
      <c r="D765" s="33"/>
      <c r="E765" s="33"/>
      <c r="F765" s="33"/>
      <c r="G765" s="33"/>
      <c r="H765" s="33"/>
      <c r="I765" s="33"/>
    </row>
    <row r="766" spans="1:9" s="54" customFormat="1" ht="11.4" customHeight="1" x14ac:dyDescent="0.3">
      <c r="A766" s="33"/>
      <c r="B766" s="33"/>
      <c r="C766" s="33"/>
      <c r="D766" s="33"/>
      <c r="E766" s="33"/>
      <c r="F766" s="33"/>
      <c r="G766" s="33"/>
      <c r="H766" s="33"/>
      <c r="I766" s="33"/>
    </row>
    <row r="767" spans="1:9" s="54" customFormat="1" ht="11.4" customHeight="1" x14ac:dyDescent="0.3">
      <c r="A767" s="33"/>
      <c r="B767" s="33"/>
      <c r="C767" s="33"/>
      <c r="D767" s="33"/>
      <c r="E767" s="33"/>
      <c r="F767" s="33"/>
      <c r="G767" s="33"/>
      <c r="H767" s="33"/>
      <c r="I767" s="33"/>
    </row>
    <row r="768" spans="1:9" s="54" customFormat="1" ht="11.4" customHeight="1" x14ac:dyDescent="0.3">
      <c r="A768" s="33"/>
      <c r="B768" s="33"/>
      <c r="C768" s="33"/>
      <c r="D768" s="33"/>
      <c r="E768" s="33"/>
      <c r="F768" s="33"/>
      <c r="G768" s="33"/>
      <c r="H768" s="33"/>
      <c r="I768" s="33"/>
    </row>
    <row r="769" spans="1:9" s="54" customFormat="1" ht="11.4" customHeight="1" x14ac:dyDescent="0.3">
      <c r="A769" s="33"/>
      <c r="B769" s="33"/>
      <c r="C769" s="33"/>
      <c r="D769" s="33"/>
      <c r="E769" s="33"/>
      <c r="F769" s="33"/>
      <c r="G769" s="33"/>
      <c r="H769" s="33"/>
      <c r="I769" s="33"/>
    </row>
    <row r="770" spans="1:9" s="54" customFormat="1" ht="11.4" customHeight="1" x14ac:dyDescent="0.3">
      <c r="A770" s="33"/>
      <c r="B770" s="33"/>
      <c r="C770" s="33"/>
      <c r="D770" s="33"/>
      <c r="E770" s="33"/>
      <c r="F770" s="33"/>
      <c r="G770" s="33"/>
      <c r="H770" s="33"/>
      <c r="I770" s="33"/>
    </row>
    <row r="771" spans="1:9" s="54" customFormat="1" ht="11.4" customHeight="1" x14ac:dyDescent="0.3">
      <c r="A771" s="33"/>
      <c r="B771" s="33"/>
      <c r="C771" s="33"/>
      <c r="D771" s="33"/>
      <c r="E771" s="33"/>
      <c r="F771" s="33"/>
      <c r="G771" s="33"/>
      <c r="H771" s="33"/>
      <c r="I771" s="33"/>
    </row>
    <row r="772" spans="1:9" s="54" customFormat="1" ht="11.4" customHeight="1" x14ac:dyDescent="0.3">
      <c r="A772" s="33"/>
      <c r="B772" s="33"/>
      <c r="C772" s="33"/>
      <c r="D772" s="33"/>
      <c r="E772" s="33"/>
      <c r="F772" s="33"/>
      <c r="G772" s="33"/>
      <c r="H772" s="33"/>
      <c r="I772" s="33"/>
    </row>
    <row r="773" spans="1:9" s="54" customFormat="1" ht="11.4" customHeight="1" x14ac:dyDescent="0.3">
      <c r="A773" s="33"/>
      <c r="B773" s="33"/>
      <c r="C773" s="33"/>
      <c r="D773" s="33"/>
      <c r="E773" s="33"/>
      <c r="F773" s="33"/>
      <c r="G773" s="33"/>
      <c r="H773" s="33"/>
      <c r="I773" s="33"/>
    </row>
    <row r="774" spans="1:9" s="54" customFormat="1" ht="11.4" customHeight="1" x14ac:dyDescent="0.3">
      <c r="A774" s="33"/>
      <c r="B774" s="33"/>
      <c r="C774" s="33"/>
      <c r="D774" s="33"/>
      <c r="E774" s="33"/>
      <c r="F774" s="33"/>
      <c r="G774" s="33"/>
      <c r="H774" s="33"/>
      <c r="I774" s="33"/>
    </row>
    <row r="775" spans="1:9" s="54" customFormat="1" ht="11.4" customHeight="1" x14ac:dyDescent="0.3">
      <c r="A775" s="33"/>
      <c r="B775" s="33"/>
      <c r="C775" s="33"/>
      <c r="D775" s="33"/>
      <c r="E775" s="33"/>
      <c r="F775" s="33"/>
      <c r="G775" s="33"/>
      <c r="H775" s="33"/>
      <c r="I775" s="33"/>
    </row>
    <row r="776" spans="1:9" s="54" customFormat="1" ht="11.4" customHeight="1" x14ac:dyDescent="0.3">
      <c r="A776" s="33"/>
      <c r="B776" s="33"/>
      <c r="C776" s="33"/>
      <c r="D776" s="33"/>
      <c r="E776" s="33"/>
      <c r="F776" s="33"/>
      <c r="G776" s="33"/>
      <c r="H776" s="33"/>
      <c r="I776" s="33"/>
    </row>
    <row r="777" spans="1:9" s="54" customFormat="1" ht="11.4" customHeight="1" x14ac:dyDescent="0.3">
      <c r="A777" s="33"/>
      <c r="B777" s="33"/>
      <c r="C777" s="33"/>
      <c r="D777" s="33"/>
      <c r="E777" s="33"/>
      <c r="F777" s="33"/>
      <c r="G777" s="33"/>
      <c r="H777" s="33"/>
      <c r="I777" s="33"/>
    </row>
    <row r="778" spans="1:9" s="54" customFormat="1" ht="11.4" customHeight="1" x14ac:dyDescent="0.3">
      <c r="A778" s="33"/>
      <c r="B778" s="33"/>
      <c r="C778" s="33"/>
      <c r="D778" s="33"/>
      <c r="E778" s="33"/>
      <c r="F778" s="33"/>
      <c r="G778" s="33"/>
      <c r="H778" s="33"/>
      <c r="I778" s="33"/>
    </row>
    <row r="779" spans="1:9" s="54" customFormat="1" ht="11.4" customHeight="1" x14ac:dyDescent="0.3">
      <c r="A779" s="33"/>
      <c r="B779" s="33"/>
      <c r="C779" s="33"/>
      <c r="D779" s="33"/>
      <c r="E779" s="33"/>
      <c r="F779" s="33"/>
      <c r="G779" s="33"/>
      <c r="H779" s="33"/>
      <c r="I779" s="33"/>
    </row>
    <row r="780" spans="1:9" s="54" customFormat="1" ht="11.4" customHeight="1" x14ac:dyDescent="0.3">
      <c r="A780" s="33"/>
      <c r="B780" s="33"/>
      <c r="C780" s="33"/>
      <c r="D780" s="33"/>
      <c r="E780" s="33"/>
      <c r="F780" s="33"/>
      <c r="G780" s="33"/>
      <c r="H780" s="33"/>
      <c r="I780" s="33"/>
    </row>
    <row r="781" spans="1:9" s="54" customFormat="1" ht="11.4" customHeight="1" x14ac:dyDescent="0.3">
      <c r="A781" s="33"/>
      <c r="B781" s="33"/>
      <c r="C781" s="33"/>
      <c r="D781" s="33"/>
      <c r="E781" s="33"/>
      <c r="F781" s="33"/>
      <c r="G781" s="33"/>
      <c r="H781" s="33"/>
      <c r="I781" s="33"/>
    </row>
    <row r="782" spans="1:9" s="54" customFormat="1" ht="11.4" customHeight="1" x14ac:dyDescent="0.3">
      <c r="A782" s="33"/>
      <c r="B782" s="33"/>
      <c r="C782" s="33"/>
      <c r="D782" s="33"/>
      <c r="E782" s="33"/>
      <c r="F782" s="33"/>
      <c r="G782" s="33"/>
      <c r="H782" s="33"/>
      <c r="I782" s="33"/>
    </row>
    <row r="783" spans="1:9" s="54" customFormat="1" ht="11.4" customHeight="1" x14ac:dyDescent="0.3">
      <c r="A783" s="33"/>
      <c r="B783" s="33"/>
      <c r="C783" s="33"/>
      <c r="D783" s="33"/>
      <c r="E783" s="33"/>
      <c r="F783" s="33"/>
      <c r="G783" s="33"/>
      <c r="H783" s="33"/>
      <c r="I783" s="33"/>
    </row>
    <row r="784" spans="1:9" s="54" customFormat="1" ht="11.4" customHeight="1" x14ac:dyDescent="0.3">
      <c r="A784" s="33"/>
      <c r="B784" s="33"/>
      <c r="C784" s="33"/>
      <c r="D784" s="33"/>
      <c r="E784" s="33"/>
      <c r="F784" s="33"/>
      <c r="G784" s="33"/>
      <c r="H784" s="33"/>
      <c r="I784" s="33"/>
    </row>
    <row r="785" spans="1:9" s="54" customFormat="1" ht="11.4" customHeight="1" x14ac:dyDescent="0.3">
      <c r="A785" s="33"/>
      <c r="B785" s="33"/>
      <c r="C785" s="33"/>
      <c r="D785" s="33"/>
      <c r="E785" s="33"/>
      <c r="F785" s="33"/>
      <c r="G785" s="33"/>
      <c r="H785" s="33"/>
      <c r="I785" s="33"/>
    </row>
    <row r="786" spans="1:9" s="54" customFormat="1" ht="11.4" customHeight="1" x14ac:dyDescent="0.3">
      <c r="A786" s="33"/>
      <c r="B786" s="33"/>
      <c r="C786" s="33"/>
      <c r="D786" s="33"/>
      <c r="E786" s="33"/>
      <c r="F786" s="33"/>
      <c r="G786" s="33"/>
      <c r="H786" s="33"/>
      <c r="I786" s="33"/>
    </row>
    <row r="787" spans="1:9" s="54" customFormat="1" ht="11.4" customHeight="1" x14ac:dyDescent="0.3">
      <c r="A787" s="33"/>
      <c r="B787" s="33"/>
      <c r="C787" s="33"/>
      <c r="D787" s="33"/>
      <c r="E787" s="33"/>
      <c r="F787" s="33"/>
      <c r="G787" s="33"/>
      <c r="H787" s="33"/>
      <c r="I787" s="33"/>
    </row>
    <row r="788" spans="1:9" s="54" customFormat="1" ht="11.4" customHeight="1" x14ac:dyDescent="0.3">
      <c r="A788" s="33"/>
      <c r="B788" s="33"/>
      <c r="C788" s="33"/>
      <c r="D788" s="33"/>
      <c r="E788" s="33"/>
      <c r="F788" s="33"/>
      <c r="G788" s="33"/>
      <c r="H788" s="33"/>
      <c r="I788" s="33"/>
    </row>
    <row r="789" spans="1:9" s="54" customFormat="1" ht="11.4" customHeight="1" x14ac:dyDescent="0.3">
      <c r="A789" s="33"/>
      <c r="B789" s="33"/>
      <c r="C789" s="33"/>
      <c r="D789" s="33"/>
      <c r="E789" s="33"/>
      <c r="F789" s="33"/>
      <c r="G789" s="33"/>
      <c r="H789" s="33"/>
      <c r="I789" s="33"/>
    </row>
    <row r="790" spans="1:9" s="54" customFormat="1" ht="11.4" customHeight="1" x14ac:dyDescent="0.3">
      <c r="A790" s="33"/>
      <c r="B790" s="33"/>
      <c r="C790" s="33"/>
      <c r="D790" s="33"/>
      <c r="E790" s="33"/>
      <c r="F790" s="33"/>
      <c r="G790" s="33"/>
      <c r="H790" s="33"/>
      <c r="I790" s="33"/>
    </row>
    <row r="791" spans="1:9" s="54" customFormat="1" ht="11.4" customHeight="1" x14ac:dyDescent="0.3">
      <c r="A791" s="33"/>
      <c r="B791" s="33"/>
      <c r="C791" s="33"/>
      <c r="D791" s="33"/>
      <c r="E791" s="33"/>
      <c r="F791" s="33"/>
      <c r="G791" s="33"/>
      <c r="H791" s="33"/>
      <c r="I791" s="33"/>
    </row>
    <row r="792" spans="1:9" s="54" customFormat="1" ht="11.4" customHeight="1" x14ac:dyDescent="0.3">
      <c r="A792" s="33"/>
      <c r="B792" s="33"/>
      <c r="C792" s="33"/>
      <c r="D792" s="33"/>
      <c r="E792" s="33"/>
      <c r="F792" s="33"/>
      <c r="G792" s="33"/>
      <c r="H792" s="33"/>
      <c r="I792" s="33"/>
    </row>
    <row r="793" spans="1:9" s="54" customFormat="1" ht="11.4" customHeight="1" x14ac:dyDescent="0.3">
      <c r="A793" s="33"/>
      <c r="B793" s="33"/>
      <c r="C793" s="33"/>
      <c r="D793" s="33"/>
      <c r="E793" s="33"/>
      <c r="F793" s="33"/>
      <c r="G793" s="33"/>
      <c r="H793" s="33"/>
      <c r="I793" s="33"/>
    </row>
    <row r="794" spans="1:9" s="54" customFormat="1" ht="11.4" customHeight="1" x14ac:dyDescent="0.3">
      <c r="A794" s="33"/>
      <c r="B794" s="33"/>
      <c r="C794" s="33"/>
      <c r="D794" s="33"/>
      <c r="E794" s="33"/>
      <c r="F794" s="33"/>
      <c r="G794" s="33"/>
      <c r="H794" s="33"/>
      <c r="I794" s="33"/>
    </row>
    <row r="795" spans="1:9" s="54" customFormat="1" ht="11.4" customHeight="1" x14ac:dyDescent="0.3">
      <c r="A795" s="33"/>
      <c r="B795" s="33"/>
      <c r="C795" s="33"/>
      <c r="D795" s="33"/>
      <c r="E795" s="33"/>
      <c r="F795" s="33"/>
      <c r="G795" s="33"/>
      <c r="H795" s="33"/>
      <c r="I795" s="33"/>
    </row>
    <row r="796" spans="1:9" s="54" customFormat="1" ht="11.4" customHeight="1" x14ac:dyDescent="0.3">
      <c r="A796" s="33"/>
      <c r="B796" s="33"/>
      <c r="C796" s="33"/>
      <c r="D796" s="33"/>
      <c r="E796" s="33"/>
      <c r="F796" s="33"/>
      <c r="G796" s="33"/>
      <c r="H796" s="33"/>
      <c r="I796" s="33"/>
    </row>
    <row r="797" spans="1:9" s="54" customFormat="1" ht="11.4" customHeight="1" x14ac:dyDescent="0.3">
      <c r="A797" s="33"/>
      <c r="B797" s="33"/>
      <c r="C797" s="33"/>
      <c r="D797" s="33"/>
      <c r="E797" s="33"/>
      <c r="F797" s="33"/>
      <c r="G797" s="33"/>
      <c r="H797" s="33"/>
      <c r="I797" s="33"/>
    </row>
    <row r="798" spans="1:9" s="54" customFormat="1" ht="11.4" customHeight="1" x14ac:dyDescent="0.3">
      <c r="A798" s="33"/>
      <c r="B798" s="33"/>
      <c r="C798" s="33"/>
      <c r="D798" s="33"/>
      <c r="E798" s="33"/>
      <c r="F798" s="33"/>
      <c r="G798" s="33"/>
      <c r="H798" s="33"/>
      <c r="I798" s="33"/>
    </row>
    <row r="799" spans="1:9" s="54" customFormat="1" ht="11.4" customHeight="1" x14ac:dyDescent="0.3">
      <c r="A799" s="33"/>
      <c r="B799" s="33"/>
      <c r="C799" s="33"/>
      <c r="D799" s="33"/>
      <c r="E799" s="33"/>
      <c r="F799" s="33"/>
      <c r="G799" s="33"/>
      <c r="H799" s="33"/>
      <c r="I799" s="33"/>
    </row>
    <row r="800" spans="1:9" s="54" customFormat="1" ht="11.4" customHeight="1" x14ac:dyDescent="0.3">
      <c r="A800" s="33"/>
      <c r="B800" s="33"/>
      <c r="C800" s="33"/>
      <c r="D800" s="33"/>
      <c r="E800" s="33"/>
      <c r="F800" s="33"/>
      <c r="G800" s="33"/>
      <c r="H800" s="33"/>
      <c r="I800" s="33"/>
    </row>
    <row r="801" spans="1:9" s="54" customFormat="1" ht="11.4" customHeight="1" x14ac:dyDescent="0.3">
      <c r="A801" s="33"/>
      <c r="B801" s="33"/>
      <c r="C801" s="33"/>
      <c r="D801" s="33"/>
      <c r="E801" s="33"/>
      <c r="F801" s="33"/>
      <c r="G801" s="33"/>
      <c r="H801" s="33"/>
      <c r="I801" s="33"/>
    </row>
    <row r="802" spans="1:9" s="54" customFormat="1" ht="11.4" customHeight="1" x14ac:dyDescent="0.3">
      <c r="A802" s="33"/>
      <c r="B802" s="33"/>
      <c r="C802" s="33"/>
      <c r="D802" s="33"/>
      <c r="E802" s="33"/>
      <c r="F802" s="33"/>
      <c r="G802" s="33"/>
      <c r="H802" s="33"/>
      <c r="I802" s="33"/>
    </row>
    <row r="803" spans="1:9" s="54" customFormat="1" ht="11.4" customHeight="1" x14ac:dyDescent="0.3">
      <c r="A803" s="33"/>
      <c r="B803" s="33"/>
      <c r="C803" s="33"/>
      <c r="D803" s="33"/>
      <c r="E803" s="33"/>
      <c r="F803" s="33"/>
      <c r="G803" s="33"/>
      <c r="H803" s="33"/>
      <c r="I803" s="33"/>
    </row>
    <row r="804" spans="1:9" s="54" customFormat="1" ht="11.4" customHeight="1" x14ac:dyDescent="0.3">
      <c r="A804" s="33"/>
      <c r="B804" s="33"/>
      <c r="C804" s="33"/>
      <c r="D804" s="33"/>
      <c r="E804" s="33"/>
      <c r="F804" s="33"/>
      <c r="G804" s="33"/>
      <c r="H804" s="33"/>
      <c r="I804" s="33"/>
    </row>
    <row r="805" spans="1:9" s="54" customFormat="1" ht="11.4" customHeight="1" x14ac:dyDescent="0.3">
      <c r="A805" s="33"/>
      <c r="B805" s="33"/>
      <c r="C805" s="33"/>
      <c r="D805" s="33"/>
      <c r="E805" s="33"/>
      <c r="F805" s="33"/>
      <c r="G805" s="33"/>
      <c r="H805" s="33"/>
      <c r="I805" s="33"/>
    </row>
    <row r="806" spans="1:9" s="54" customFormat="1" ht="11.4" customHeight="1" x14ac:dyDescent="0.3">
      <c r="A806" s="33"/>
      <c r="B806" s="33"/>
      <c r="C806" s="33"/>
      <c r="D806" s="33"/>
      <c r="E806" s="33"/>
      <c r="F806" s="33"/>
      <c r="G806" s="33"/>
      <c r="H806" s="33"/>
      <c r="I806" s="33"/>
    </row>
    <row r="807" spans="1:9" s="54" customFormat="1" ht="11.4" customHeight="1" x14ac:dyDescent="0.3">
      <c r="A807" s="33"/>
      <c r="B807" s="33"/>
      <c r="C807" s="33"/>
      <c r="D807" s="33"/>
      <c r="E807" s="33"/>
      <c r="F807" s="33"/>
      <c r="G807" s="33"/>
      <c r="H807" s="33"/>
      <c r="I807" s="33"/>
    </row>
    <row r="808" spans="1:9" s="54" customFormat="1" ht="11.4" customHeight="1" x14ac:dyDescent="0.3">
      <c r="A808" s="33"/>
      <c r="B808" s="33"/>
      <c r="C808" s="33"/>
      <c r="D808" s="33"/>
      <c r="E808" s="33"/>
      <c r="F808" s="33"/>
      <c r="G808" s="33"/>
      <c r="H808" s="33"/>
      <c r="I808" s="33"/>
    </row>
    <row r="809" spans="1:9" s="54" customFormat="1" ht="11.4" customHeight="1" x14ac:dyDescent="0.3">
      <c r="A809" s="33"/>
      <c r="B809" s="33"/>
      <c r="C809" s="33"/>
      <c r="D809" s="33"/>
      <c r="E809" s="33"/>
      <c r="F809" s="33"/>
      <c r="G809" s="33"/>
      <c r="H809" s="33"/>
      <c r="I809" s="33"/>
    </row>
    <row r="810" spans="1:9" s="54" customFormat="1" ht="11.4" customHeight="1" x14ac:dyDescent="0.3">
      <c r="A810" s="33"/>
      <c r="B810" s="33"/>
      <c r="C810" s="33"/>
      <c r="D810" s="33"/>
      <c r="E810" s="33"/>
      <c r="F810" s="33"/>
      <c r="G810" s="33"/>
      <c r="H810" s="33"/>
      <c r="I810" s="33"/>
    </row>
    <row r="811" spans="1:9" s="54" customFormat="1" ht="11.4" customHeight="1" x14ac:dyDescent="0.3">
      <c r="A811" s="33"/>
      <c r="B811" s="33"/>
      <c r="C811" s="33"/>
      <c r="D811" s="33"/>
      <c r="E811" s="33"/>
      <c r="F811" s="33"/>
      <c r="G811" s="33"/>
      <c r="H811" s="33"/>
      <c r="I811" s="33"/>
    </row>
    <row r="812" spans="1:9" s="54" customFormat="1" ht="11.4" customHeight="1" x14ac:dyDescent="0.3">
      <c r="A812" s="33"/>
      <c r="B812" s="33"/>
      <c r="C812" s="33"/>
      <c r="D812" s="33"/>
      <c r="E812" s="33"/>
      <c r="F812" s="33"/>
      <c r="G812" s="33"/>
      <c r="H812" s="33"/>
      <c r="I812" s="33"/>
    </row>
    <row r="813" spans="1:9" s="54" customFormat="1" ht="11.4" customHeight="1" x14ac:dyDescent="0.3">
      <c r="A813" s="33"/>
      <c r="B813" s="33"/>
      <c r="C813" s="33"/>
      <c r="D813" s="33"/>
      <c r="E813" s="33"/>
      <c r="F813" s="33"/>
      <c r="G813" s="33"/>
      <c r="H813" s="33"/>
      <c r="I813" s="33"/>
    </row>
    <row r="814" spans="1:9" s="54" customFormat="1" ht="11.4" customHeight="1" x14ac:dyDescent="0.3">
      <c r="A814" s="33"/>
      <c r="B814" s="33"/>
      <c r="C814" s="33"/>
      <c r="D814" s="33"/>
      <c r="E814" s="33"/>
      <c r="F814" s="33"/>
      <c r="G814" s="33"/>
      <c r="H814" s="33"/>
      <c r="I814" s="33"/>
    </row>
    <row r="815" spans="1:9" s="54" customFormat="1" ht="11.4" customHeight="1" x14ac:dyDescent="0.3">
      <c r="A815" s="33"/>
      <c r="B815" s="33"/>
      <c r="C815" s="33"/>
      <c r="D815" s="33"/>
      <c r="E815" s="33"/>
      <c r="F815" s="33"/>
      <c r="G815" s="33"/>
      <c r="H815" s="33"/>
      <c r="I815" s="33"/>
    </row>
    <row r="816" spans="1:9" s="54" customFormat="1" ht="11.4" customHeight="1" x14ac:dyDescent="0.3">
      <c r="A816" s="33"/>
      <c r="B816" s="33"/>
      <c r="C816" s="33"/>
      <c r="D816" s="33"/>
      <c r="E816" s="33"/>
      <c r="F816" s="33"/>
      <c r="G816" s="33"/>
      <c r="H816" s="33"/>
      <c r="I816" s="33"/>
    </row>
    <row r="817" spans="1:9" s="54" customFormat="1" ht="11.4" customHeight="1" x14ac:dyDescent="0.3">
      <c r="A817" s="33"/>
      <c r="B817" s="33"/>
      <c r="C817" s="33"/>
      <c r="D817" s="33"/>
      <c r="E817" s="33"/>
      <c r="F817" s="33"/>
      <c r="G817" s="33"/>
      <c r="H817" s="33"/>
      <c r="I817" s="33"/>
    </row>
    <row r="818" spans="1:9" s="54" customFormat="1" ht="11.4" customHeight="1" x14ac:dyDescent="0.3">
      <c r="A818" s="33"/>
      <c r="B818" s="33"/>
      <c r="C818" s="33"/>
      <c r="D818" s="33"/>
      <c r="E818" s="33"/>
      <c r="F818" s="33"/>
      <c r="G818" s="33"/>
      <c r="H818" s="33"/>
      <c r="I818" s="33"/>
    </row>
    <row r="819" spans="1:9" s="54" customFormat="1" ht="11.4" customHeight="1" x14ac:dyDescent="0.3">
      <c r="A819" s="33"/>
      <c r="B819" s="33"/>
      <c r="C819" s="33"/>
      <c r="D819" s="33"/>
      <c r="E819" s="33"/>
      <c r="F819" s="33"/>
      <c r="G819" s="33"/>
      <c r="H819" s="33"/>
      <c r="I819" s="33"/>
    </row>
    <row r="820" spans="1:9" s="54" customFormat="1" ht="11.4" customHeight="1" x14ac:dyDescent="0.3">
      <c r="A820" s="33"/>
      <c r="B820" s="33"/>
      <c r="C820" s="33"/>
      <c r="D820" s="33"/>
      <c r="E820" s="33"/>
      <c r="F820" s="33"/>
      <c r="G820" s="33"/>
      <c r="H820" s="33"/>
      <c r="I820" s="33"/>
    </row>
    <row r="821" spans="1:9" s="54" customFormat="1" ht="11.4" customHeight="1" x14ac:dyDescent="0.3">
      <c r="A821" s="33"/>
      <c r="B821" s="33"/>
      <c r="C821" s="33"/>
      <c r="D821" s="33"/>
      <c r="E821" s="33"/>
      <c r="F821" s="33"/>
      <c r="G821" s="33"/>
      <c r="H821" s="33"/>
      <c r="I821" s="33"/>
    </row>
    <row r="822" spans="1:9" s="54" customFormat="1" ht="11.4" customHeight="1" x14ac:dyDescent="0.3">
      <c r="A822" s="33"/>
      <c r="B822" s="33"/>
      <c r="C822" s="33"/>
      <c r="D822" s="33"/>
      <c r="E822" s="33"/>
      <c r="F822" s="33"/>
      <c r="G822" s="33"/>
      <c r="H822" s="33"/>
      <c r="I822" s="33"/>
    </row>
    <row r="823" spans="1:9" s="54" customFormat="1" ht="11.4" customHeight="1" x14ac:dyDescent="0.3">
      <c r="A823" s="33"/>
      <c r="B823" s="33"/>
      <c r="C823" s="33"/>
      <c r="D823" s="33"/>
      <c r="E823" s="33"/>
      <c r="F823" s="33"/>
      <c r="G823" s="33"/>
      <c r="H823" s="33"/>
      <c r="I823" s="33"/>
    </row>
    <row r="824" spans="1:9" s="54" customFormat="1" ht="11.4" customHeight="1" x14ac:dyDescent="0.3">
      <c r="A824" s="33"/>
      <c r="B824" s="33"/>
      <c r="C824" s="33"/>
      <c r="D824" s="33"/>
      <c r="E824" s="33"/>
      <c r="F824" s="33"/>
      <c r="G824" s="33"/>
      <c r="H824" s="33"/>
      <c r="I824" s="33"/>
    </row>
    <row r="825" spans="1:9" s="54" customFormat="1" ht="11.4" customHeight="1" x14ac:dyDescent="0.3">
      <c r="A825" s="33"/>
      <c r="B825" s="33"/>
      <c r="C825" s="33"/>
      <c r="D825" s="33"/>
      <c r="E825" s="33"/>
      <c r="F825" s="33"/>
      <c r="G825" s="33"/>
      <c r="H825" s="33"/>
      <c r="I825" s="33"/>
    </row>
    <row r="826" spans="1:9" s="54" customFormat="1" ht="11.4" customHeight="1" x14ac:dyDescent="0.3">
      <c r="A826" s="33"/>
      <c r="B826" s="33"/>
      <c r="C826" s="33"/>
      <c r="D826" s="33"/>
      <c r="E826" s="33"/>
      <c r="F826" s="33"/>
      <c r="G826" s="33"/>
      <c r="H826" s="33"/>
      <c r="I826" s="33"/>
    </row>
    <row r="827" spans="1:9" s="54" customFormat="1" ht="11.4" customHeight="1" x14ac:dyDescent="0.3">
      <c r="A827" s="33"/>
      <c r="B827" s="33"/>
      <c r="C827" s="33"/>
      <c r="D827" s="33"/>
      <c r="E827" s="33"/>
      <c r="F827" s="33"/>
      <c r="G827" s="33"/>
      <c r="H827" s="33"/>
      <c r="I827" s="33"/>
    </row>
    <row r="828" spans="1:9" s="54" customFormat="1" ht="11.4" customHeight="1" x14ac:dyDescent="0.3">
      <c r="A828" s="33"/>
      <c r="B828" s="33"/>
      <c r="C828" s="33"/>
      <c r="D828" s="33"/>
      <c r="E828" s="33"/>
      <c r="F828" s="33"/>
      <c r="G828" s="33"/>
      <c r="H828" s="33"/>
      <c r="I828" s="33"/>
    </row>
    <row r="829" spans="1:9" s="54" customFormat="1" ht="11.4" customHeight="1" x14ac:dyDescent="0.3">
      <c r="A829" s="33"/>
      <c r="B829" s="33"/>
      <c r="C829" s="33"/>
      <c r="D829" s="33"/>
      <c r="E829" s="33"/>
      <c r="F829" s="33"/>
      <c r="G829" s="33"/>
      <c r="H829" s="33"/>
      <c r="I829" s="33"/>
    </row>
    <row r="830" spans="1:9" s="54" customFormat="1" ht="11.4" customHeight="1" x14ac:dyDescent="0.3">
      <c r="A830" s="33"/>
      <c r="B830" s="33"/>
      <c r="C830" s="33"/>
      <c r="D830" s="33"/>
      <c r="E830" s="33"/>
      <c r="F830" s="33"/>
      <c r="G830" s="33"/>
      <c r="H830" s="33"/>
      <c r="I830" s="33"/>
    </row>
    <row r="831" spans="1:9" s="54" customFormat="1" ht="11.4" customHeight="1" x14ac:dyDescent="0.3">
      <c r="A831" s="33"/>
      <c r="B831" s="33"/>
      <c r="C831" s="33"/>
      <c r="D831" s="33"/>
      <c r="E831" s="33"/>
      <c r="F831" s="33"/>
      <c r="G831" s="33"/>
      <c r="H831" s="33"/>
      <c r="I831" s="33"/>
    </row>
    <row r="832" spans="1:9" s="54" customFormat="1" ht="11.4" customHeight="1" x14ac:dyDescent="0.3">
      <c r="A832" s="33"/>
      <c r="B832" s="33"/>
      <c r="C832" s="33"/>
      <c r="D832" s="33"/>
      <c r="E832" s="33"/>
      <c r="F832" s="33"/>
      <c r="G832" s="33"/>
      <c r="H832" s="33"/>
      <c r="I832" s="33"/>
    </row>
    <row r="833" spans="1:9" s="54" customFormat="1" ht="11.4" customHeight="1" x14ac:dyDescent="0.3">
      <c r="A833" s="33"/>
      <c r="B833" s="33"/>
      <c r="C833" s="33"/>
      <c r="D833" s="33"/>
      <c r="E833" s="33"/>
      <c r="F833" s="33"/>
      <c r="G833" s="33"/>
      <c r="H833" s="33"/>
      <c r="I833" s="33"/>
    </row>
    <row r="834" spans="1:9" s="54" customFormat="1" ht="11.4" customHeight="1" x14ac:dyDescent="0.3">
      <c r="A834" s="33"/>
      <c r="B834" s="33"/>
      <c r="C834" s="33"/>
      <c r="D834" s="33"/>
      <c r="E834" s="33"/>
      <c r="F834" s="33"/>
      <c r="G834" s="33"/>
      <c r="H834" s="33"/>
      <c r="I834" s="33"/>
    </row>
    <row r="835" spans="1:9" s="54" customFormat="1" ht="11.4" customHeight="1" x14ac:dyDescent="0.3">
      <c r="A835" s="33"/>
      <c r="B835" s="33"/>
      <c r="C835" s="33"/>
      <c r="D835" s="33"/>
      <c r="E835" s="33"/>
      <c r="F835" s="33"/>
      <c r="G835" s="33"/>
      <c r="H835" s="33"/>
      <c r="I835" s="33"/>
    </row>
    <row r="836" spans="1:9" s="54" customFormat="1" ht="11.4" customHeight="1" x14ac:dyDescent="0.3">
      <c r="A836" s="33"/>
      <c r="B836" s="33"/>
      <c r="C836" s="33"/>
      <c r="D836" s="33"/>
      <c r="E836" s="33"/>
      <c r="F836" s="33"/>
      <c r="G836" s="33"/>
      <c r="H836" s="33"/>
      <c r="I836" s="33"/>
    </row>
    <row r="837" spans="1:9" s="54" customFormat="1" ht="11.4" customHeight="1" x14ac:dyDescent="0.3">
      <c r="A837" s="33"/>
      <c r="B837" s="33"/>
      <c r="C837" s="33"/>
      <c r="D837" s="33"/>
      <c r="E837" s="33"/>
      <c r="F837" s="33"/>
      <c r="G837" s="33"/>
      <c r="H837" s="33"/>
      <c r="I837" s="33"/>
    </row>
    <row r="838" spans="1:9" s="54" customFormat="1" ht="11.4" customHeight="1" x14ac:dyDescent="0.3">
      <c r="A838" s="33"/>
      <c r="B838" s="33"/>
      <c r="C838" s="33"/>
      <c r="D838" s="33"/>
      <c r="E838" s="33"/>
      <c r="F838" s="33"/>
      <c r="G838" s="33"/>
      <c r="H838" s="33"/>
      <c r="I838" s="33"/>
    </row>
    <row r="839" spans="1:9" s="54" customFormat="1" ht="11.4" customHeight="1" x14ac:dyDescent="0.3">
      <c r="A839" s="33"/>
      <c r="B839" s="33"/>
      <c r="C839" s="33"/>
      <c r="D839" s="33"/>
      <c r="E839" s="33"/>
      <c r="F839" s="33"/>
      <c r="G839" s="33"/>
      <c r="H839" s="33"/>
      <c r="I839" s="33"/>
    </row>
    <row r="840" spans="1:9" s="54" customFormat="1" ht="11.4" customHeight="1" x14ac:dyDescent="0.3">
      <c r="A840" s="33"/>
      <c r="B840" s="33"/>
      <c r="C840" s="33"/>
      <c r="D840" s="33"/>
      <c r="E840" s="33"/>
      <c r="F840" s="33"/>
      <c r="G840" s="33"/>
      <c r="H840" s="33"/>
      <c r="I840" s="33"/>
    </row>
    <row r="841" spans="1:9" s="54" customFormat="1" ht="11.4" customHeight="1" x14ac:dyDescent="0.3">
      <c r="A841" s="33"/>
      <c r="B841" s="33"/>
      <c r="C841" s="33"/>
      <c r="D841" s="33"/>
      <c r="E841" s="33"/>
      <c r="F841" s="33"/>
      <c r="G841" s="33"/>
      <c r="H841" s="33"/>
      <c r="I841" s="33"/>
    </row>
    <row r="842" spans="1:9" s="54" customFormat="1" ht="11.4" customHeight="1" x14ac:dyDescent="0.3">
      <c r="A842" s="33"/>
      <c r="B842" s="33"/>
      <c r="C842" s="33"/>
      <c r="D842" s="33"/>
      <c r="E842" s="33"/>
      <c r="F842" s="33"/>
      <c r="G842" s="33"/>
      <c r="H842" s="33"/>
      <c r="I842" s="33"/>
    </row>
    <row r="843" spans="1:9" s="54" customFormat="1" ht="11.4" customHeight="1" x14ac:dyDescent="0.3">
      <c r="A843" s="33"/>
      <c r="B843" s="33"/>
      <c r="C843" s="33"/>
      <c r="D843" s="33"/>
      <c r="E843" s="33"/>
      <c r="F843" s="33"/>
      <c r="G843" s="33"/>
      <c r="H843" s="33"/>
      <c r="I843" s="33"/>
    </row>
    <row r="844" spans="1:9" s="54" customFormat="1" ht="11.4" customHeight="1" x14ac:dyDescent="0.3">
      <c r="A844" s="33"/>
      <c r="B844" s="33"/>
      <c r="C844" s="33"/>
      <c r="D844" s="33"/>
      <c r="E844" s="33"/>
      <c r="F844" s="33"/>
      <c r="G844" s="33"/>
      <c r="H844" s="33"/>
      <c r="I844" s="33"/>
    </row>
    <row r="845" spans="1:9" s="54" customFormat="1" ht="11.4" customHeight="1" x14ac:dyDescent="0.3">
      <c r="A845" s="33"/>
      <c r="B845" s="33"/>
      <c r="C845" s="33"/>
      <c r="D845" s="33"/>
      <c r="E845" s="33"/>
      <c r="F845" s="33"/>
      <c r="G845" s="33"/>
      <c r="H845" s="33"/>
      <c r="I845" s="33"/>
    </row>
    <row r="846" spans="1:9" s="54" customFormat="1" ht="11.4" customHeight="1" x14ac:dyDescent="0.3">
      <c r="A846" s="33"/>
      <c r="B846" s="33"/>
      <c r="C846" s="33"/>
      <c r="D846" s="33"/>
      <c r="E846" s="33"/>
      <c r="F846" s="33"/>
      <c r="G846" s="33"/>
      <c r="H846" s="33"/>
      <c r="I846" s="33"/>
    </row>
    <row r="847" spans="1:9" s="54" customFormat="1" ht="11.4" customHeight="1" x14ac:dyDescent="0.3">
      <c r="A847" s="33"/>
      <c r="B847" s="33"/>
      <c r="C847" s="33"/>
      <c r="D847" s="33"/>
      <c r="E847" s="33"/>
      <c r="F847" s="33"/>
      <c r="G847" s="33"/>
      <c r="H847" s="33"/>
      <c r="I847" s="33"/>
    </row>
    <row r="848" spans="1:9" s="54" customFormat="1" ht="11.4" customHeight="1" x14ac:dyDescent="0.3">
      <c r="A848" s="33"/>
      <c r="B848" s="33"/>
      <c r="C848" s="33"/>
      <c r="D848" s="33"/>
      <c r="E848" s="33"/>
      <c r="F848" s="33"/>
      <c r="G848" s="33"/>
      <c r="H848" s="33"/>
      <c r="I848" s="33"/>
    </row>
    <row r="849" spans="1:9" s="54" customFormat="1" ht="11.4" customHeight="1" x14ac:dyDescent="0.3">
      <c r="A849" s="33"/>
      <c r="B849" s="33"/>
      <c r="C849" s="33"/>
      <c r="D849" s="33"/>
      <c r="E849" s="33"/>
      <c r="F849" s="33"/>
      <c r="G849" s="33"/>
      <c r="H849" s="33"/>
      <c r="I849" s="33"/>
    </row>
    <row r="850" spans="1:9" s="54" customFormat="1" ht="11.4" customHeight="1" x14ac:dyDescent="0.3">
      <c r="A850" s="33"/>
      <c r="B850" s="33"/>
      <c r="C850" s="33"/>
      <c r="D850" s="33"/>
      <c r="E850" s="33"/>
      <c r="F850" s="33"/>
      <c r="G850" s="33"/>
      <c r="H850" s="33"/>
      <c r="I850" s="33"/>
    </row>
    <row r="851" spans="1:9" s="54" customFormat="1" ht="11.4" customHeight="1" x14ac:dyDescent="0.3">
      <c r="A851" s="33"/>
      <c r="B851" s="33"/>
      <c r="C851" s="33"/>
      <c r="D851" s="33"/>
      <c r="E851" s="33"/>
      <c r="F851" s="33"/>
      <c r="G851" s="33"/>
      <c r="H851" s="33"/>
      <c r="I851" s="33"/>
    </row>
    <row r="852" spans="1:9" s="54" customFormat="1" ht="11.4" customHeight="1" x14ac:dyDescent="0.3">
      <c r="A852" s="33"/>
      <c r="B852" s="33"/>
      <c r="C852" s="33"/>
      <c r="D852" s="33"/>
      <c r="E852" s="33"/>
      <c r="F852" s="33"/>
      <c r="G852" s="33"/>
      <c r="H852" s="33"/>
      <c r="I852" s="33"/>
    </row>
    <row r="853" spans="1:9" s="54" customFormat="1" ht="11.4" customHeight="1" x14ac:dyDescent="0.3">
      <c r="A853" s="33"/>
      <c r="B853" s="33"/>
      <c r="C853" s="33"/>
      <c r="D853" s="33"/>
      <c r="E853" s="33"/>
      <c r="F853" s="33"/>
      <c r="G853" s="33"/>
      <c r="H853" s="33"/>
      <c r="I853" s="33"/>
    </row>
    <row r="854" spans="1:9" s="54" customFormat="1" ht="11.4" customHeight="1" x14ac:dyDescent="0.3">
      <c r="A854" s="33"/>
      <c r="B854" s="33"/>
      <c r="C854" s="33"/>
      <c r="D854" s="33"/>
      <c r="E854" s="33"/>
      <c r="F854" s="33"/>
      <c r="G854" s="33"/>
      <c r="H854" s="33"/>
      <c r="I854" s="33"/>
    </row>
    <row r="855" spans="1:9" s="54" customFormat="1" ht="11.4" customHeight="1" x14ac:dyDescent="0.3">
      <c r="A855" s="33"/>
      <c r="B855" s="33"/>
      <c r="C855" s="33"/>
      <c r="D855" s="33"/>
      <c r="E855" s="33"/>
      <c r="F855" s="33"/>
      <c r="G855" s="33"/>
      <c r="H855" s="33"/>
      <c r="I855" s="33"/>
    </row>
    <row r="856" spans="1:9" s="54" customFormat="1" ht="11.4" customHeight="1" x14ac:dyDescent="0.3">
      <c r="A856" s="33"/>
      <c r="B856" s="33"/>
      <c r="C856" s="33"/>
      <c r="D856" s="33"/>
      <c r="E856" s="33"/>
      <c r="F856" s="33"/>
      <c r="G856" s="33"/>
      <c r="H856" s="33"/>
      <c r="I856" s="33"/>
    </row>
    <row r="857" spans="1:9" s="54" customFormat="1" ht="11.4" customHeight="1" x14ac:dyDescent="0.3">
      <c r="A857" s="33"/>
      <c r="B857" s="33"/>
      <c r="C857" s="33"/>
      <c r="D857" s="33"/>
      <c r="E857" s="33"/>
      <c r="F857" s="33"/>
      <c r="G857" s="33"/>
      <c r="H857" s="33"/>
      <c r="I857" s="33"/>
    </row>
    <row r="858" spans="1:9" s="54" customFormat="1" ht="11.4" customHeight="1" x14ac:dyDescent="0.3">
      <c r="A858" s="33"/>
      <c r="B858" s="33"/>
      <c r="C858" s="33"/>
      <c r="D858" s="33"/>
      <c r="E858" s="33"/>
      <c r="F858" s="33"/>
      <c r="G858" s="33"/>
      <c r="H858" s="33"/>
      <c r="I858" s="33"/>
    </row>
    <row r="859" spans="1:9" s="54" customFormat="1" ht="11.4" customHeight="1" x14ac:dyDescent="0.3">
      <c r="A859" s="33"/>
      <c r="B859" s="33"/>
      <c r="C859" s="33"/>
      <c r="D859" s="33"/>
      <c r="E859" s="33"/>
      <c r="F859" s="33"/>
      <c r="G859" s="33"/>
      <c r="H859" s="33"/>
      <c r="I859" s="33"/>
    </row>
    <row r="860" spans="1:9" s="54" customFormat="1" ht="11.4" customHeight="1" x14ac:dyDescent="0.3">
      <c r="A860" s="33"/>
      <c r="B860" s="33"/>
      <c r="C860" s="33"/>
      <c r="D860" s="33"/>
      <c r="E860" s="33"/>
      <c r="F860" s="33"/>
      <c r="G860" s="33"/>
      <c r="H860" s="33"/>
      <c r="I860" s="33"/>
    </row>
    <row r="861" spans="1:9" s="54" customFormat="1" ht="11.4" customHeight="1" x14ac:dyDescent="0.3">
      <c r="A861" s="33"/>
      <c r="B861" s="33"/>
      <c r="C861" s="33"/>
      <c r="D861" s="33"/>
      <c r="E861" s="33"/>
      <c r="F861" s="33"/>
      <c r="G861" s="33"/>
      <c r="H861" s="33"/>
      <c r="I861" s="33"/>
    </row>
    <row r="862" spans="1:9" s="54" customFormat="1" ht="11.4" customHeight="1" x14ac:dyDescent="0.3">
      <c r="A862" s="33"/>
      <c r="B862" s="33"/>
      <c r="C862" s="33"/>
      <c r="D862" s="33"/>
      <c r="E862" s="33"/>
      <c r="F862" s="33"/>
      <c r="G862" s="33"/>
      <c r="H862" s="33"/>
      <c r="I862" s="33"/>
    </row>
    <row r="863" spans="1:9" s="54" customFormat="1" ht="11.4" customHeight="1" x14ac:dyDescent="0.3">
      <c r="A863" s="33"/>
      <c r="B863" s="33"/>
      <c r="C863" s="33"/>
      <c r="D863" s="33"/>
      <c r="E863" s="33"/>
      <c r="F863" s="33"/>
      <c r="G863" s="33"/>
      <c r="H863" s="33"/>
      <c r="I863" s="33"/>
    </row>
    <row r="864" spans="1:9" s="54" customFormat="1" ht="11.4" customHeight="1" x14ac:dyDescent="0.3">
      <c r="A864" s="33"/>
      <c r="B864" s="33"/>
      <c r="C864" s="33"/>
      <c r="D864" s="33"/>
      <c r="E864" s="33"/>
      <c r="F864" s="33"/>
      <c r="G864" s="33"/>
      <c r="H864" s="33"/>
      <c r="I864" s="33"/>
    </row>
    <row r="865" spans="1:9" s="54" customFormat="1" ht="11.4" customHeight="1" x14ac:dyDescent="0.3">
      <c r="A865" s="33"/>
      <c r="B865" s="33"/>
      <c r="C865" s="33"/>
      <c r="D865" s="33"/>
      <c r="E865" s="33"/>
      <c r="F865" s="33"/>
      <c r="G865" s="33"/>
      <c r="H865" s="33"/>
      <c r="I865" s="33"/>
    </row>
    <row r="866" spans="1:9" s="54" customFormat="1" ht="11.4" customHeight="1" x14ac:dyDescent="0.3">
      <c r="A866" s="33"/>
      <c r="B866" s="33"/>
      <c r="C866" s="33"/>
      <c r="D866" s="33"/>
      <c r="E866" s="33"/>
      <c r="F866" s="33"/>
      <c r="G866" s="33"/>
      <c r="H866" s="33"/>
      <c r="I866" s="33"/>
    </row>
    <row r="867" spans="1:9" s="54" customFormat="1" ht="11.4" customHeight="1" x14ac:dyDescent="0.3">
      <c r="A867" s="33"/>
      <c r="B867" s="33"/>
      <c r="C867" s="33"/>
      <c r="D867" s="33"/>
      <c r="E867" s="33"/>
      <c r="F867" s="33"/>
      <c r="G867" s="33"/>
      <c r="H867" s="33"/>
      <c r="I867" s="33"/>
    </row>
    <row r="868" spans="1:9" s="54" customFormat="1" ht="11.4" customHeight="1" x14ac:dyDescent="0.3">
      <c r="A868" s="33"/>
      <c r="B868" s="33"/>
      <c r="C868" s="33"/>
      <c r="D868" s="33"/>
      <c r="E868" s="33"/>
      <c r="F868" s="33"/>
      <c r="G868" s="33"/>
      <c r="H868" s="33"/>
      <c r="I868" s="33"/>
    </row>
    <row r="869" spans="1:9" s="54" customFormat="1" ht="11.4" customHeight="1" x14ac:dyDescent="0.3">
      <c r="A869" s="33"/>
      <c r="B869" s="33"/>
      <c r="C869" s="33"/>
      <c r="D869" s="33"/>
      <c r="E869" s="33"/>
      <c r="F869" s="33"/>
      <c r="G869" s="33"/>
      <c r="H869" s="33"/>
      <c r="I869" s="33"/>
    </row>
    <row r="870" spans="1:9" s="54" customFormat="1" ht="11.4" customHeight="1" x14ac:dyDescent="0.3">
      <c r="A870" s="33"/>
      <c r="B870" s="33"/>
      <c r="C870" s="33"/>
      <c r="D870" s="33"/>
      <c r="E870" s="33"/>
      <c r="F870" s="33"/>
      <c r="G870" s="33"/>
      <c r="H870" s="33"/>
      <c r="I870" s="33"/>
    </row>
    <row r="871" spans="1:9" s="54" customFormat="1" ht="11.4" customHeight="1" x14ac:dyDescent="0.3">
      <c r="A871" s="33"/>
      <c r="B871" s="33"/>
      <c r="C871" s="33"/>
      <c r="D871" s="33"/>
      <c r="E871" s="33"/>
      <c r="F871" s="33"/>
      <c r="G871" s="33"/>
      <c r="H871" s="33"/>
      <c r="I871" s="33"/>
    </row>
    <row r="872" spans="1:9" s="54" customFormat="1" ht="11.4" customHeight="1" x14ac:dyDescent="0.3">
      <c r="A872" s="33"/>
      <c r="B872" s="33"/>
      <c r="C872" s="33"/>
      <c r="D872" s="33"/>
      <c r="E872" s="33"/>
      <c r="F872" s="33"/>
      <c r="G872" s="33"/>
      <c r="H872" s="33"/>
      <c r="I872" s="33"/>
    </row>
    <row r="873" spans="1:9" s="54" customFormat="1" ht="11.4" customHeight="1" x14ac:dyDescent="0.3">
      <c r="A873" s="33"/>
      <c r="B873" s="33"/>
      <c r="C873" s="33"/>
      <c r="D873" s="33"/>
      <c r="E873" s="33"/>
      <c r="F873" s="33"/>
      <c r="G873" s="33"/>
      <c r="H873" s="33"/>
      <c r="I873" s="33"/>
    </row>
    <row r="874" spans="1:9" s="54" customFormat="1" ht="11.4" customHeight="1" x14ac:dyDescent="0.3">
      <c r="A874" s="33"/>
      <c r="B874" s="33"/>
      <c r="C874" s="33"/>
      <c r="D874" s="33"/>
      <c r="E874" s="33"/>
      <c r="F874" s="33"/>
      <c r="G874" s="33"/>
      <c r="H874" s="33"/>
      <c r="I874" s="33"/>
    </row>
    <row r="875" spans="1:9" s="54" customFormat="1" ht="11.4" customHeight="1" x14ac:dyDescent="0.3">
      <c r="A875" s="33"/>
      <c r="B875" s="33"/>
      <c r="C875" s="33"/>
      <c r="D875" s="33"/>
      <c r="E875" s="33"/>
      <c r="F875" s="33"/>
      <c r="G875" s="33"/>
      <c r="H875" s="33"/>
      <c r="I875" s="33"/>
    </row>
    <row r="876" spans="1:9" s="54" customFormat="1" ht="11.4" customHeight="1" x14ac:dyDescent="0.3">
      <c r="A876" s="33"/>
      <c r="B876" s="33"/>
      <c r="C876" s="33"/>
      <c r="D876" s="33"/>
      <c r="E876" s="33"/>
      <c r="F876" s="33"/>
      <c r="G876" s="33"/>
      <c r="H876" s="33"/>
      <c r="I876" s="33"/>
    </row>
    <row r="877" spans="1:9" s="54" customFormat="1" ht="11.4" customHeight="1" x14ac:dyDescent="0.3">
      <c r="A877" s="33"/>
      <c r="B877" s="33"/>
      <c r="C877" s="33"/>
      <c r="D877" s="33"/>
      <c r="E877" s="33"/>
      <c r="F877" s="33"/>
      <c r="G877" s="33"/>
      <c r="H877" s="33"/>
      <c r="I877" s="33"/>
    </row>
    <row r="878" spans="1:9" s="54" customFormat="1" ht="11.4" customHeight="1" x14ac:dyDescent="0.3">
      <c r="A878" s="33"/>
      <c r="B878" s="33"/>
      <c r="C878" s="33"/>
      <c r="D878" s="33"/>
      <c r="E878" s="33"/>
      <c r="F878" s="33"/>
      <c r="G878" s="33"/>
      <c r="H878" s="33"/>
      <c r="I878" s="33"/>
    </row>
    <row r="879" spans="1:9" s="54" customFormat="1" ht="11.4" customHeight="1" x14ac:dyDescent="0.3">
      <c r="A879" s="33"/>
      <c r="B879" s="33"/>
      <c r="C879" s="33"/>
      <c r="D879" s="33"/>
      <c r="E879" s="33"/>
      <c r="F879" s="33"/>
      <c r="G879" s="33"/>
      <c r="H879" s="33"/>
      <c r="I879" s="33"/>
    </row>
    <row r="880" spans="1:9" s="54" customFormat="1" ht="11.4" customHeight="1" x14ac:dyDescent="0.3">
      <c r="A880" s="33"/>
      <c r="B880" s="33"/>
      <c r="C880" s="33"/>
      <c r="D880" s="33"/>
      <c r="E880" s="33"/>
      <c r="F880" s="33"/>
      <c r="G880" s="33"/>
      <c r="H880" s="33"/>
      <c r="I880" s="33"/>
    </row>
    <row r="881" spans="1:9" s="54" customFormat="1" ht="11.4" customHeight="1" x14ac:dyDescent="0.3">
      <c r="A881" s="33"/>
      <c r="B881" s="33"/>
      <c r="C881" s="33"/>
      <c r="D881" s="33"/>
      <c r="E881" s="33"/>
      <c r="F881" s="33"/>
      <c r="G881" s="33"/>
      <c r="H881" s="33"/>
      <c r="I881" s="33"/>
    </row>
    <row r="882" spans="1:9" s="54" customFormat="1" ht="11.4" customHeight="1" x14ac:dyDescent="0.3">
      <c r="A882" s="33"/>
      <c r="B882" s="33"/>
      <c r="C882" s="33"/>
      <c r="D882" s="33"/>
      <c r="E882" s="33"/>
      <c r="F882" s="33"/>
      <c r="G882" s="33"/>
      <c r="H882" s="33"/>
      <c r="I882" s="33"/>
    </row>
    <row r="883" spans="1:9" s="54" customFormat="1" ht="11.4" customHeight="1" x14ac:dyDescent="0.3">
      <c r="A883" s="33"/>
      <c r="B883" s="33"/>
      <c r="C883" s="33"/>
      <c r="D883" s="33"/>
      <c r="E883" s="33"/>
      <c r="F883" s="33"/>
      <c r="G883" s="33"/>
      <c r="H883" s="33"/>
      <c r="I883" s="33"/>
    </row>
    <row r="884" spans="1:9" s="54" customFormat="1" ht="11.4" customHeight="1" x14ac:dyDescent="0.3">
      <c r="A884" s="33"/>
      <c r="B884" s="33"/>
      <c r="C884" s="33"/>
      <c r="D884" s="33"/>
      <c r="E884" s="33"/>
      <c r="F884" s="33"/>
      <c r="G884" s="33"/>
      <c r="H884" s="33"/>
      <c r="I884" s="33"/>
    </row>
    <row r="885" spans="1:9" s="54" customFormat="1" ht="11.4" customHeight="1" x14ac:dyDescent="0.3">
      <c r="A885" s="33"/>
      <c r="B885" s="33"/>
      <c r="C885" s="33"/>
      <c r="D885" s="33"/>
      <c r="E885" s="33"/>
      <c r="F885" s="33"/>
      <c r="G885" s="33"/>
      <c r="H885" s="33"/>
      <c r="I885" s="33"/>
    </row>
    <row r="886" spans="1:9" s="54" customFormat="1" ht="11.4" customHeight="1" x14ac:dyDescent="0.3">
      <c r="A886" s="33"/>
      <c r="B886" s="33"/>
      <c r="C886" s="33"/>
      <c r="D886" s="33"/>
      <c r="E886" s="33"/>
      <c r="F886" s="33"/>
      <c r="G886" s="33"/>
      <c r="H886" s="33"/>
      <c r="I886" s="33"/>
    </row>
    <row r="887" spans="1:9" s="54" customFormat="1" ht="11.4" customHeight="1" x14ac:dyDescent="0.3">
      <c r="A887" s="33"/>
      <c r="B887" s="33"/>
      <c r="C887" s="33"/>
      <c r="D887" s="33"/>
      <c r="E887" s="33"/>
      <c r="F887" s="33"/>
      <c r="G887" s="33"/>
      <c r="H887" s="33"/>
      <c r="I887" s="33"/>
    </row>
    <row r="888" spans="1:9" s="54" customFormat="1" ht="11.4" customHeight="1" x14ac:dyDescent="0.3">
      <c r="A888" s="33"/>
      <c r="B888" s="33"/>
      <c r="C888" s="33"/>
      <c r="D888" s="33"/>
      <c r="E888" s="33"/>
      <c r="F888" s="33"/>
      <c r="G888" s="33"/>
      <c r="H888" s="33"/>
      <c r="I888" s="33"/>
    </row>
    <row r="889" spans="1:9" s="54" customFormat="1" ht="11.4" customHeight="1" x14ac:dyDescent="0.3">
      <c r="A889" s="33"/>
      <c r="B889" s="33"/>
      <c r="C889" s="33"/>
      <c r="D889" s="33"/>
      <c r="E889" s="33"/>
      <c r="F889" s="33"/>
      <c r="G889" s="33"/>
      <c r="H889" s="33"/>
      <c r="I889" s="33"/>
    </row>
    <row r="890" spans="1:9" s="54" customFormat="1" ht="11.4" customHeight="1" x14ac:dyDescent="0.3">
      <c r="A890" s="33"/>
      <c r="B890" s="33"/>
      <c r="C890" s="33"/>
      <c r="D890" s="33"/>
      <c r="E890" s="33"/>
      <c r="F890" s="33"/>
      <c r="G890" s="33"/>
      <c r="H890" s="33"/>
      <c r="I890" s="33"/>
    </row>
    <row r="891" spans="1:9" s="54" customFormat="1" ht="11.4" customHeight="1" x14ac:dyDescent="0.3">
      <c r="A891" s="33"/>
      <c r="B891" s="33"/>
      <c r="C891" s="33"/>
      <c r="D891" s="33"/>
      <c r="E891" s="33"/>
      <c r="F891" s="33"/>
      <c r="G891" s="33"/>
      <c r="H891" s="33"/>
      <c r="I891" s="33"/>
    </row>
    <row r="892" spans="1:9" s="54" customFormat="1" ht="11.4" customHeight="1" x14ac:dyDescent="0.3">
      <c r="A892" s="33"/>
      <c r="B892" s="33"/>
      <c r="C892" s="33"/>
      <c r="D892" s="33"/>
      <c r="E892" s="33"/>
      <c r="F892" s="33"/>
      <c r="G892" s="33"/>
      <c r="H892" s="33"/>
      <c r="I892" s="33"/>
    </row>
    <row r="893" spans="1:9" s="54" customFormat="1" ht="11.4" customHeight="1" x14ac:dyDescent="0.3">
      <c r="A893" s="33"/>
      <c r="B893" s="33"/>
      <c r="C893" s="33"/>
      <c r="D893" s="33"/>
      <c r="E893" s="33"/>
      <c r="F893" s="33"/>
      <c r="G893" s="33"/>
      <c r="H893" s="33"/>
      <c r="I893" s="33"/>
    </row>
    <row r="894" spans="1:9" s="54" customFormat="1" ht="11.4" customHeight="1" x14ac:dyDescent="0.3">
      <c r="A894" s="33"/>
      <c r="B894" s="33"/>
      <c r="C894" s="33"/>
      <c r="D894" s="33"/>
      <c r="E894" s="33"/>
      <c r="F894" s="33"/>
      <c r="G894" s="33"/>
      <c r="H894" s="33"/>
      <c r="I894" s="33"/>
    </row>
    <row r="895" spans="1:9" s="54" customFormat="1" ht="11.4" customHeight="1" x14ac:dyDescent="0.3">
      <c r="A895" s="33"/>
      <c r="B895" s="33"/>
      <c r="C895" s="33"/>
      <c r="D895" s="33"/>
      <c r="E895" s="33"/>
      <c r="F895" s="33"/>
      <c r="G895" s="33"/>
      <c r="H895" s="33"/>
      <c r="I895" s="33"/>
    </row>
    <row r="896" spans="1:9" s="54" customFormat="1" ht="11.4" customHeight="1" x14ac:dyDescent="0.3">
      <c r="A896" s="33"/>
      <c r="B896" s="33"/>
      <c r="C896" s="33"/>
      <c r="D896" s="33"/>
      <c r="E896" s="33"/>
      <c r="F896" s="33"/>
      <c r="G896" s="33"/>
      <c r="H896" s="33"/>
      <c r="I896" s="33"/>
    </row>
    <row r="897" spans="1:9" s="54" customFormat="1" ht="11.4" customHeight="1" x14ac:dyDescent="0.3">
      <c r="A897" s="33"/>
      <c r="B897" s="33"/>
      <c r="C897" s="33"/>
      <c r="D897" s="33"/>
      <c r="E897" s="33"/>
      <c r="F897" s="33"/>
      <c r="G897" s="33"/>
      <c r="H897" s="33"/>
      <c r="I897" s="33"/>
    </row>
    <row r="898" spans="1:9" s="54" customFormat="1" ht="11.4" customHeight="1" x14ac:dyDescent="0.3">
      <c r="A898" s="33"/>
      <c r="B898" s="33"/>
      <c r="C898" s="33"/>
      <c r="D898" s="33"/>
      <c r="E898" s="33"/>
      <c r="F898" s="33"/>
      <c r="G898" s="33"/>
      <c r="H898" s="33"/>
      <c r="I898" s="33"/>
    </row>
    <row r="899" spans="1:9" s="54" customFormat="1" ht="11.4" customHeight="1" x14ac:dyDescent="0.3">
      <c r="A899" s="33"/>
      <c r="B899" s="33"/>
      <c r="C899" s="33"/>
      <c r="D899" s="33"/>
      <c r="E899" s="33"/>
      <c r="F899" s="33"/>
      <c r="G899" s="33"/>
      <c r="H899" s="33"/>
      <c r="I899" s="33"/>
    </row>
    <row r="900" spans="1:9" s="54" customFormat="1" ht="11.4" customHeight="1" x14ac:dyDescent="0.3">
      <c r="A900" s="33"/>
      <c r="B900" s="33"/>
      <c r="C900" s="33"/>
      <c r="D900" s="33"/>
      <c r="E900" s="33"/>
      <c r="F900" s="33"/>
      <c r="G900" s="33"/>
      <c r="H900" s="33"/>
      <c r="I900" s="33"/>
    </row>
    <row r="901" spans="1:9" s="54" customFormat="1" ht="11.4" customHeight="1" x14ac:dyDescent="0.3">
      <c r="A901" s="33"/>
      <c r="B901" s="33"/>
      <c r="C901" s="33"/>
      <c r="D901" s="33"/>
      <c r="E901" s="33"/>
      <c r="F901" s="33"/>
      <c r="G901" s="33"/>
      <c r="H901" s="33"/>
      <c r="I901" s="33"/>
    </row>
    <row r="902" spans="1:9" s="54" customFormat="1" ht="11.4" customHeight="1" x14ac:dyDescent="0.3">
      <c r="A902" s="33"/>
      <c r="B902" s="33"/>
      <c r="C902" s="33"/>
      <c r="D902" s="33"/>
      <c r="E902" s="33"/>
      <c r="F902" s="33"/>
      <c r="G902" s="33"/>
      <c r="H902" s="33"/>
      <c r="I902" s="33"/>
    </row>
    <row r="903" spans="1:9" s="54" customFormat="1" ht="11.4" customHeight="1" x14ac:dyDescent="0.3">
      <c r="A903" s="33"/>
      <c r="B903" s="33"/>
      <c r="C903" s="33"/>
      <c r="D903" s="33"/>
      <c r="E903" s="33"/>
      <c r="F903" s="33"/>
      <c r="G903" s="33"/>
      <c r="H903" s="33"/>
      <c r="I903" s="33"/>
    </row>
    <row r="904" spans="1:9" s="54" customFormat="1" ht="11.4" customHeight="1" x14ac:dyDescent="0.3">
      <c r="A904" s="33"/>
      <c r="B904" s="33"/>
      <c r="C904" s="33"/>
      <c r="D904" s="33"/>
      <c r="E904" s="33"/>
      <c r="F904" s="33"/>
      <c r="G904" s="33"/>
      <c r="H904" s="33"/>
      <c r="I904" s="33"/>
    </row>
    <row r="905" spans="1:9" s="54" customFormat="1" ht="11.4" customHeight="1" x14ac:dyDescent="0.3">
      <c r="A905" s="33"/>
      <c r="B905" s="33"/>
      <c r="C905" s="33"/>
      <c r="D905" s="33"/>
      <c r="E905" s="33"/>
      <c r="F905" s="33"/>
      <c r="G905" s="33"/>
      <c r="H905" s="33"/>
      <c r="I905" s="33"/>
    </row>
    <row r="906" spans="1:9" s="54" customFormat="1" ht="11.4" customHeight="1" x14ac:dyDescent="0.3">
      <c r="A906" s="33"/>
      <c r="B906" s="33"/>
      <c r="C906" s="33"/>
      <c r="D906" s="33"/>
      <c r="E906" s="33"/>
      <c r="F906" s="33"/>
      <c r="G906" s="33"/>
      <c r="H906" s="33"/>
      <c r="I906" s="33"/>
    </row>
    <row r="907" spans="1:9" s="54" customFormat="1" ht="11.4" customHeight="1" x14ac:dyDescent="0.3">
      <c r="A907" s="33"/>
      <c r="B907" s="33"/>
      <c r="C907" s="33"/>
      <c r="D907" s="33"/>
      <c r="E907" s="33"/>
      <c r="F907" s="33"/>
      <c r="G907" s="33"/>
      <c r="H907" s="33"/>
      <c r="I907" s="33"/>
    </row>
    <row r="908" spans="1:9" s="54" customFormat="1" ht="11.4" customHeight="1" x14ac:dyDescent="0.3">
      <c r="A908" s="33"/>
      <c r="B908" s="33"/>
      <c r="C908" s="33"/>
      <c r="D908" s="33"/>
      <c r="E908" s="33"/>
      <c r="F908" s="33"/>
      <c r="G908" s="33"/>
      <c r="H908" s="33"/>
      <c r="I908" s="33"/>
    </row>
    <row r="909" spans="1:9" s="54" customFormat="1" ht="11.4" customHeight="1" x14ac:dyDescent="0.3">
      <c r="A909" s="33"/>
      <c r="B909" s="33"/>
      <c r="C909" s="33"/>
      <c r="D909" s="33"/>
      <c r="E909" s="33"/>
      <c r="F909" s="33"/>
      <c r="G909" s="33"/>
      <c r="H909" s="33"/>
      <c r="I909" s="33"/>
    </row>
    <row r="910" spans="1:9" s="54" customFormat="1" ht="11.4" customHeight="1" x14ac:dyDescent="0.3">
      <c r="A910" s="33"/>
      <c r="B910" s="33"/>
      <c r="C910" s="33"/>
      <c r="D910" s="33"/>
      <c r="E910" s="33"/>
      <c r="F910" s="33"/>
      <c r="G910" s="33"/>
      <c r="H910" s="33"/>
      <c r="I910" s="33"/>
    </row>
    <row r="911" spans="1:9" s="54" customFormat="1" ht="11.4" customHeight="1" x14ac:dyDescent="0.3">
      <c r="A911" s="33"/>
      <c r="B911" s="33"/>
      <c r="C911" s="33"/>
      <c r="D911" s="33"/>
      <c r="E911" s="33"/>
      <c r="F911" s="33"/>
      <c r="G911" s="33"/>
      <c r="H911" s="33"/>
      <c r="I911" s="33"/>
    </row>
    <row r="912" spans="1:9" s="54" customFormat="1" ht="11.4" customHeight="1" x14ac:dyDescent="0.3">
      <c r="A912" s="33"/>
      <c r="B912" s="33"/>
      <c r="C912" s="33"/>
      <c r="D912" s="33"/>
      <c r="E912" s="33"/>
      <c r="F912" s="33"/>
      <c r="G912" s="33"/>
      <c r="H912" s="33"/>
      <c r="I912" s="33"/>
    </row>
    <row r="913" spans="1:9" s="54" customFormat="1" ht="11.4" customHeight="1" x14ac:dyDescent="0.3">
      <c r="A913" s="33"/>
      <c r="B913" s="33"/>
      <c r="C913" s="33"/>
      <c r="D913" s="33"/>
      <c r="E913" s="33"/>
      <c r="F913" s="33"/>
      <c r="G913" s="33"/>
      <c r="H913" s="33"/>
      <c r="I913" s="33"/>
    </row>
    <row r="914" spans="1:9" s="54" customFormat="1" ht="11.4" customHeight="1" x14ac:dyDescent="0.3">
      <c r="A914" s="33"/>
      <c r="B914" s="33"/>
      <c r="C914" s="33"/>
      <c r="D914" s="33"/>
      <c r="E914" s="33"/>
      <c r="F914" s="33"/>
      <c r="G914" s="33"/>
      <c r="H914" s="33"/>
      <c r="I914" s="33"/>
    </row>
    <row r="915" spans="1:9" s="54" customFormat="1" ht="11.4" customHeight="1" x14ac:dyDescent="0.3">
      <c r="A915" s="33"/>
      <c r="B915" s="33"/>
      <c r="C915" s="33"/>
      <c r="D915" s="33"/>
      <c r="E915" s="33"/>
      <c r="F915" s="33"/>
      <c r="G915" s="33"/>
      <c r="H915" s="33"/>
      <c r="I915" s="33"/>
    </row>
    <row r="916" spans="1:9" s="54" customFormat="1" ht="11.4" customHeight="1" x14ac:dyDescent="0.3">
      <c r="A916" s="33"/>
      <c r="B916" s="33"/>
      <c r="C916" s="33"/>
      <c r="D916" s="33"/>
      <c r="E916" s="33"/>
      <c r="F916" s="33"/>
      <c r="G916" s="33"/>
      <c r="H916" s="33"/>
      <c r="I916" s="33"/>
    </row>
    <row r="917" spans="1:9" s="54" customFormat="1" ht="11.4" customHeight="1" x14ac:dyDescent="0.3">
      <c r="A917" s="33"/>
      <c r="B917" s="33"/>
      <c r="C917" s="33"/>
      <c r="D917" s="33"/>
      <c r="E917" s="33"/>
      <c r="F917" s="33"/>
      <c r="G917" s="33"/>
      <c r="H917" s="33"/>
      <c r="I917" s="33"/>
    </row>
    <row r="918" spans="1:9" s="54" customFormat="1" ht="11.4" customHeight="1" x14ac:dyDescent="0.3">
      <c r="A918" s="33"/>
      <c r="B918" s="33"/>
      <c r="C918" s="33"/>
      <c r="D918" s="33"/>
      <c r="E918" s="33"/>
      <c r="F918" s="33"/>
      <c r="G918" s="33"/>
      <c r="H918" s="33"/>
      <c r="I918" s="33"/>
    </row>
    <row r="919" spans="1:9" s="54" customFormat="1" ht="11.4" customHeight="1" x14ac:dyDescent="0.3">
      <c r="A919" s="33"/>
      <c r="B919" s="33"/>
      <c r="C919" s="33"/>
      <c r="D919" s="33"/>
      <c r="E919" s="33"/>
      <c r="F919" s="33"/>
      <c r="G919" s="33"/>
      <c r="H919" s="33"/>
      <c r="I919" s="33"/>
    </row>
    <row r="920" spans="1:9" s="54" customFormat="1" ht="11.4" customHeight="1" x14ac:dyDescent="0.3">
      <c r="A920" s="33"/>
      <c r="B920" s="33"/>
      <c r="C920" s="33"/>
      <c r="D920" s="33"/>
      <c r="E920" s="33"/>
      <c r="F920" s="33"/>
      <c r="G920" s="33"/>
      <c r="H920" s="33"/>
      <c r="I920" s="33"/>
    </row>
    <row r="921" spans="1:9" s="54" customFormat="1" ht="11.4" customHeight="1" x14ac:dyDescent="0.3">
      <c r="A921" s="33"/>
      <c r="B921" s="33"/>
      <c r="C921" s="33"/>
      <c r="D921" s="33"/>
      <c r="E921" s="33"/>
      <c r="F921" s="33"/>
      <c r="G921" s="33"/>
      <c r="H921" s="33"/>
      <c r="I921" s="33"/>
    </row>
    <row r="922" spans="1:9" s="54" customFormat="1" ht="11.4" customHeight="1" x14ac:dyDescent="0.3">
      <c r="A922" s="33"/>
      <c r="B922" s="33"/>
      <c r="C922" s="33"/>
      <c r="D922" s="33"/>
      <c r="E922" s="33"/>
      <c r="F922" s="33"/>
      <c r="G922" s="33"/>
      <c r="H922" s="33"/>
      <c r="I922" s="33"/>
    </row>
    <row r="923" spans="1:9" s="54" customFormat="1" ht="11.4" customHeight="1" x14ac:dyDescent="0.3">
      <c r="A923" s="33"/>
      <c r="B923" s="33"/>
      <c r="C923" s="33"/>
      <c r="D923" s="33"/>
      <c r="E923" s="33"/>
      <c r="F923" s="33"/>
      <c r="G923" s="33"/>
      <c r="H923" s="33"/>
      <c r="I923" s="33"/>
    </row>
    <row r="924" spans="1:9" s="54" customFormat="1" ht="11.4" customHeight="1" x14ac:dyDescent="0.3">
      <c r="A924" s="33"/>
      <c r="B924" s="33"/>
      <c r="C924" s="33"/>
      <c r="D924" s="33"/>
      <c r="E924" s="33"/>
      <c r="F924" s="33"/>
      <c r="G924" s="33"/>
      <c r="H924" s="33"/>
      <c r="I924" s="33"/>
    </row>
    <row r="925" spans="1:9" s="54" customFormat="1" ht="11.4" customHeight="1" x14ac:dyDescent="0.3">
      <c r="A925" s="33"/>
      <c r="B925" s="33"/>
      <c r="C925" s="33"/>
      <c r="D925" s="33"/>
      <c r="E925" s="33"/>
      <c r="F925" s="33"/>
      <c r="G925" s="33"/>
      <c r="H925" s="33"/>
      <c r="I925" s="33"/>
    </row>
    <row r="926" spans="1:9" s="54" customFormat="1" ht="11.4" customHeight="1" x14ac:dyDescent="0.3">
      <c r="A926" s="33"/>
      <c r="B926" s="33"/>
      <c r="C926" s="33"/>
      <c r="D926" s="33"/>
      <c r="E926" s="33"/>
      <c r="F926" s="33"/>
      <c r="G926" s="33"/>
      <c r="H926" s="33"/>
      <c r="I926" s="33"/>
    </row>
    <row r="927" spans="1:9" s="54" customFormat="1" ht="11.4" customHeight="1" x14ac:dyDescent="0.3">
      <c r="A927" s="33"/>
      <c r="B927" s="33"/>
      <c r="C927" s="33"/>
      <c r="D927" s="33"/>
      <c r="E927" s="33"/>
      <c r="F927" s="33"/>
      <c r="G927" s="33"/>
      <c r="H927" s="33"/>
      <c r="I927" s="33"/>
    </row>
    <row r="928" spans="1:9" s="54" customFormat="1" ht="11.4" customHeight="1" x14ac:dyDescent="0.3">
      <c r="A928" s="33"/>
      <c r="B928" s="33"/>
      <c r="C928" s="33"/>
      <c r="D928" s="33"/>
      <c r="E928" s="33"/>
      <c r="F928" s="33"/>
      <c r="G928" s="33"/>
      <c r="H928" s="33"/>
      <c r="I928" s="33"/>
    </row>
    <row r="929" spans="1:9" s="54" customFormat="1" ht="11.4" customHeight="1" x14ac:dyDescent="0.3">
      <c r="A929" s="33"/>
      <c r="B929" s="33"/>
      <c r="C929" s="33"/>
      <c r="D929" s="33"/>
      <c r="E929" s="33"/>
      <c r="F929" s="33"/>
      <c r="G929" s="33"/>
      <c r="H929" s="33"/>
      <c r="I929" s="33"/>
    </row>
    <row r="930" spans="1:9" s="54" customFormat="1" ht="11.4" customHeight="1" x14ac:dyDescent="0.3">
      <c r="A930" s="33"/>
      <c r="B930" s="33"/>
      <c r="C930" s="33"/>
      <c r="D930" s="33"/>
      <c r="E930" s="33"/>
      <c r="F930" s="33"/>
      <c r="G930" s="33"/>
      <c r="H930" s="33"/>
      <c r="I930" s="33"/>
    </row>
    <row r="931" spans="1:9" s="54" customFormat="1" ht="11.4" customHeight="1" x14ac:dyDescent="0.3">
      <c r="A931" s="33"/>
      <c r="B931" s="33"/>
      <c r="C931" s="33"/>
      <c r="D931" s="33"/>
      <c r="E931" s="33"/>
      <c r="F931" s="33"/>
      <c r="G931" s="33"/>
      <c r="H931" s="33"/>
      <c r="I931" s="33"/>
    </row>
    <row r="932" spans="1:9" s="54" customFormat="1" ht="11.4" customHeight="1" x14ac:dyDescent="0.3">
      <c r="A932" s="33"/>
      <c r="B932" s="33"/>
      <c r="C932" s="33"/>
      <c r="D932" s="33"/>
      <c r="E932" s="33"/>
      <c r="F932" s="33"/>
      <c r="G932" s="33"/>
      <c r="H932" s="33"/>
      <c r="I932" s="33"/>
    </row>
    <row r="933" spans="1:9" s="54" customFormat="1" ht="11.4" customHeight="1" x14ac:dyDescent="0.3">
      <c r="A933" s="33"/>
      <c r="B933" s="33"/>
      <c r="C933" s="33"/>
      <c r="D933" s="33"/>
      <c r="E933" s="33"/>
      <c r="F933" s="33"/>
      <c r="G933" s="33"/>
      <c r="H933" s="33"/>
      <c r="I933" s="33"/>
    </row>
    <row r="934" spans="1:9" s="54" customFormat="1" ht="11.4" customHeight="1" x14ac:dyDescent="0.3">
      <c r="A934" s="33"/>
      <c r="B934" s="33"/>
      <c r="C934" s="33"/>
      <c r="D934" s="33"/>
      <c r="E934" s="33"/>
      <c r="F934" s="33"/>
      <c r="G934" s="33"/>
      <c r="H934" s="33"/>
      <c r="I934" s="33"/>
    </row>
    <row r="935" spans="1:9" s="54" customFormat="1" ht="11.4" customHeight="1" x14ac:dyDescent="0.3">
      <c r="A935" s="33"/>
      <c r="B935" s="33"/>
      <c r="C935" s="33"/>
      <c r="D935" s="33"/>
      <c r="E935" s="33"/>
      <c r="F935" s="33"/>
      <c r="G935" s="33"/>
      <c r="H935" s="33"/>
      <c r="I935" s="33"/>
    </row>
    <row r="936" spans="1:9" s="54" customFormat="1" ht="11.4" customHeight="1" x14ac:dyDescent="0.3">
      <c r="A936" s="33"/>
      <c r="B936" s="33"/>
      <c r="C936" s="33"/>
      <c r="D936" s="33"/>
      <c r="E936" s="33"/>
      <c r="F936" s="33"/>
      <c r="G936" s="33"/>
      <c r="H936" s="33"/>
      <c r="I936" s="33"/>
    </row>
    <row r="937" spans="1:9" s="54" customFormat="1" ht="11.4" customHeight="1" x14ac:dyDescent="0.3">
      <c r="A937" s="33"/>
      <c r="B937" s="33"/>
      <c r="C937" s="33"/>
      <c r="D937" s="33"/>
      <c r="E937" s="33"/>
      <c r="F937" s="33"/>
      <c r="G937" s="33"/>
      <c r="H937" s="33"/>
      <c r="I937" s="33"/>
    </row>
    <row r="938" spans="1:9" s="54" customFormat="1" ht="11.4" customHeight="1" x14ac:dyDescent="0.3">
      <c r="A938" s="33"/>
      <c r="B938" s="33"/>
      <c r="C938" s="33"/>
      <c r="D938" s="33"/>
      <c r="E938" s="33"/>
      <c r="F938" s="33"/>
      <c r="G938" s="33"/>
      <c r="H938" s="33"/>
      <c r="I938" s="33"/>
    </row>
    <row r="939" spans="1:9" s="54" customFormat="1" ht="11.4" customHeight="1" x14ac:dyDescent="0.3">
      <c r="A939" s="33"/>
      <c r="B939" s="33"/>
      <c r="C939" s="33"/>
      <c r="D939" s="33"/>
      <c r="E939" s="33"/>
      <c r="F939" s="33"/>
      <c r="G939" s="33"/>
      <c r="H939" s="33"/>
      <c r="I939" s="33"/>
    </row>
    <row r="940" spans="1:9" s="54" customFormat="1" ht="11.4" customHeight="1" x14ac:dyDescent="0.3">
      <c r="A940" s="33"/>
      <c r="B940" s="33"/>
      <c r="C940" s="33"/>
      <c r="D940" s="33"/>
      <c r="E940" s="33"/>
      <c r="F940" s="33"/>
      <c r="G940" s="33"/>
      <c r="H940" s="33"/>
      <c r="I940" s="33"/>
    </row>
    <row r="941" spans="1:9" s="54" customFormat="1" ht="11.4" customHeight="1" x14ac:dyDescent="0.3">
      <c r="A941" s="33"/>
      <c r="B941" s="33"/>
      <c r="C941" s="33"/>
      <c r="D941" s="33"/>
      <c r="E941" s="33"/>
      <c r="F941" s="33"/>
      <c r="G941" s="33"/>
      <c r="H941" s="33"/>
      <c r="I941" s="33"/>
    </row>
    <row r="942" spans="1:9" s="54" customFormat="1" ht="11.4" customHeight="1" x14ac:dyDescent="0.3">
      <c r="A942" s="33"/>
      <c r="B942" s="33"/>
      <c r="C942" s="33"/>
      <c r="D942" s="33"/>
      <c r="E942" s="33"/>
      <c r="F942" s="33"/>
      <c r="G942" s="33"/>
      <c r="H942" s="33"/>
      <c r="I942" s="33"/>
    </row>
    <row r="943" spans="1:9" s="54" customFormat="1" ht="11.4" customHeight="1" x14ac:dyDescent="0.3">
      <c r="A943" s="33"/>
      <c r="B943" s="33"/>
      <c r="C943" s="33"/>
      <c r="D943" s="33"/>
      <c r="E943" s="33"/>
      <c r="F943" s="33"/>
      <c r="G943" s="33"/>
      <c r="H943" s="33"/>
      <c r="I943" s="33"/>
    </row>
    <row r="944" spans="1:9" s="54" customFormat="1" ht="11.4" customHeight="1" x14ac:dyDescent="0.3">
      <c r="A944" s="33"/>
      <c r="B944" s="33"/>
      <c r="C944" s="33"/>
      <c r="D944" s="33"/>
      <c r="E944" s="33"/>
      <c r="F944" s="33"/>
      <c r="G944" s="33"/>
      <c r="H944" s="33"/>
      <c r="I944" s="33"/>
    </row>
    <row r="945" spans="1:9" s="54" customFormat="1" ht="11.4" customHeight="1" x14ac:dyDescent="0.3">
      <c r="A945" s="33"/>
      <c r="B945" s="33"/>
      <c r="C945" s="33"/>
      <c r="D945" s="33"/>
      <c r="E945" s="33"/>
      <c r="F945" s="33"/>
      <c r="G945" s="33"/>
      <c r="H945" s="33"/>
      <c r="I945" s="33"/>
    </row>
    <row r="946" spans="1:9" s="54" customFormat="1" ht="11.4" customHeight="1" x14ac:dyDescent="0.3">
      <c r="A946" s="33"/>
      <c r="B946" s="33"/>
      <c r="C946" s="33"/>
      <c r="D946" s="33"/>
      <c r="E946" s="33"/>
      <c r="F946" s="33"/>
      <c r="G946" s="33"/>
      <c r="H946" s="33"/>
      <c r="I946" s="33"/>
    </row>
    <row r="947" spans="1:9" s="54" customFormat="1" ht="11.4" customHeight="1" x14ac:dyDescent="0.3">
      <c r="A947" s="33"/>
      <c r="B947" s="33"/>
      <c r="C947" s="33"/>
      <c r="D947" s="33"/>
      <c r="E947" s="33"/>
      <c r="F947" s="33"/>
      <c r="G947" s="33"/>
      <c r="H947" s="33"/>
      <c r="I947" s="33"/>
    </row>
    <row r="948" spans="1:9" s="54" customFormat="1" ht="11.4" customHeight="1" x14ac:dyDescent="0.3">
      <c r="A948" s="33"/>
      <c r="B948" s="33"/>
      <c r="C948" s="33"/>
      <c r="D948" s="33"/>
      <c r="E948" s="33"/>
      <c r="F948" s="33"/>
      <c r="G948" s="33"/>
      <c r="H948" s="33"/>
      <c r="I948" s="33"/>
    </row>
    <row r="949" spans="1:9" s="54" customFormat="1" ht="11.4" customHeight="1" x14ac:dyDescent="0.3">
      <c r="A949" s="33"/>
      <c r="B949" s="33"/>
      <c r="C949" s="33"/>
      <c r="D949" s="33"/>
      <c r="E949" s="33"/>
      <c r="F949" s="33"/>
      <c r="G949" s="33"/>
      <c r="H949" s="33"/>
      <c r="I949" s="33"/>
    </row>
    <row r="950" spans="1:9" s="54" customFormat="1" ht="11.4" customHeight="1" x14ac:dyDescent="0.3">
      <c r="A950" s="33"/>
      <c r="B950" s="33"/>
      <c r="C950" s="33"/>
      <c r="D950" s="33"/>
      <c r="E950" s="33"/>
      <c r="F950" s="33"/>
      <c r="G950" s="33"/>
      <c r="H950" s="33"/>
      <c r="I950" s="33"/>
    </row>
    <row r="951" spans="1:9" s="54" customFormat="1" ht="11.4" customHeight="1" x14ac:dyDescent="0.3">
      <c r="A951" s="33"/>
      <c r="B951" s="33"/>
      <c r="C951" s="33"/>
      <c r="D951" s="33"/>
      <c r="E951" s="33"/>
      <c r="F951" s="33"/>
      <c r="G951" s="33"/>
      <c r="H951" s="33"/>
      <c r="I951" s="33"/>
    </row>
    <row r="952" spans="1:9" s="54" customFormat="1" ht="11.4" customHeight="1" x14ac:dyDescent="0.3">
      <c r="A952" s="33"/>
      <c r="B952" s="33"/>
      <c r="C952" s="33"/>
      <c r="D952" s="33"/>
      <c r="E952" s="33"/>
      <c r="F952" s="33"/>
      <c r="G952" s="33"/>
      <c r="H952" s="33"/>
      <c r="I952" s="33"/>
    </row>
    <row r="953" spans="1:9" s="54" customFormat="1" ht="11.4" customHeight="1" x14ac:dyDescent="0.3">
      <c r="A953" s="33"/>
      <c r="B953" s="33"/>
      <c r="C953" s="33"/>
      <c r="D953" s="33"/>
      <c r="E953" s="33"/>
      <c r="F953" s="33"/>
      <c r="G953" s="33"/>
      <c r="H953" s="33"/>
      <c r="I953" s="33"/>
    </row>
    <row r="954" spans="1:9" s="54" customFormat="1" ht="11.4" customHeight="1" x14ac:dyDescent="0.3">
      <c r="A954" s="33"/>
      <c r="B954" s="33"/>
      <c r="C954" s="33"/>
      <c r="D954" s="33"/>
      <c r="E954" s="33"/>
      <c r="F954" s="33"/>
      <c r="G954" s="33"/>
      <c r="H954" s="33"/>
      <c r="I954" s="33"/>
    </row>
    <row r="955" spans="1:9" s="54" customFormat="1" ht="11.4" customHeight="1" x14ac:dyDescent="0.3">
      <c r="A955" s="33"/>
      <c r="B955" s="33"/>
      <c r="C955" s="33"/>
      <c r="D955" s="33"/>
      <c r="E955" s="33"/>
      <c r="F955" s="33"/>
      <c r="G955" s="33"/>
      <c r="H955" s="33"/>
      <c r="I955" s="33"/>
    </row>
    <row r="956" spans="1:9" s="54" customFormat="1" ht="11.4" customHeight="1" x14ac:dyDescent="0.3">
      <c r="A956" s="33"/>
      <c r="B956" s="33"/>
      <c r="C956" s="33"/>
      <c r="D956" s="33"/>
      <c r="E956" s="33"/>
      <c r="F956" s="33"/>
      <c r="G956" s="33"/>
      <c r="H956" s="33"/>
      <c r="I956" s="33"/>
    </row>
    <row r="957" spans="1:9" s="54" customFormat="1" ht="11.4" customHeight="1" x14ac:dyDescent="0.3">
      <c r="A957" s="33"/>
      <c r="B957" s="33"/>
      <c r="C957" s="33"/>
      <c r="D957" s="33"/>
      <c r="E957" s="33"/>
      <c r="F957" s="33"/>
      <c r="G957" s="33"/>
      <c r="H957" s="33"/>
      <c r="I957" s="33"/>
    </row>
    <row r="958" spans="1:9" s="54" customFormat="1" ht="11.4" customHeight="1" x14ac:dyDescent="0.3">
      <c r="A958" s="33"/>
      <c r="B958" s="33"/>
      <c r="C958" s="33"/>
      <c r="D958" s="33"/>
      <c r="E958" s="33"/>
      <c r="F958" s="33"/>
      <c r="G958" s="33"/>
      <c r="H958" s="33"/>
      <c r="I958" s="33"/>
    </row>
    <row r="959" spans="1:9" s="54" customFormat="1" ht="11.4" customHeight="1" x14ac:dyDescent="0.3">
      <c r="A959" s="33"/>
      <c r="B959" s="33"/>
      <c r="C959" s="33"/>
      <c r="D959" s="33"/>
      <c r="E959" s="33"/>
      <c r="F959" s="33"/>
      <c r="G959" s="33"/>
      <c r="H959" s="33"/>
      <c r="I959" s="33"/>
    </row>
    <row r="960" spans="1:9" s="54" customFormat="1" ht="11.4" customHeight="1" x14ac:dyDescent="0.3">
      <c r="A960" s="33"/>
      <c r="B960" s="33"/>
      <c r="C960" s="33"/>
      <c r="D960" s="33"/>
      <c r="E960" s="33"/>
      <c r="F960" s="33"/>
      <c r="G960" s="33"/>
      <c r="H960" s="33"/>
      <c r="I960" s="33"/>
    </row>
    <row r="961" spans="1:9" s="54" customFormat="1" ht="11.4" customHeight="1" x14ac:dyDescent="0.3">
      <c r="A961" s="33"/>
      <c r="B961" s="33"/>
      <c r="C961" s="33"/>
      <c r="D961" s="33"/>
      <c r="E961" s="33"/>
      <c r="F961" s="33"/>
      <c r="G961" s="33"/>
      <c r="H961" s="33"/>
      <c r="I961" s="33"/>
    </row>
    <row r="962" spans="1:9" s="54" customFormat="1" ht="11.4" customHeight="1" x14ac:dyDescent="0.3">
      <c r="A962" s="33"/>
      <c r="B962" s="33"/>
      <c r="C962" s="33"/>
      <c r="D962" s="33"/>
      <c r="E962" s="33"/>
      <c r="F962" s="33"/>
      <c r="G962" s="33"/>
      <c r="H962" s="33"/>
      <c r="I962" s="33"/>
    </row>
    <row r="963" spans="1:9" s="54" customFormat="1" ht="11.4" customHeight="1" x14ac:dyDescent="0.3">
      <c r="A963" s="33"/>
      <c r="B963" s="33"/>
      <c r="C963" s="33"/>
      <c r="D963" s="33"/>
      <c r="E963" s="33"/>
      <c r="F963" s="33"/>
      <c r="G963" s="33"/>
      <c r="H963" s="33"/>
      <c r="I963" s="33"/>
    </row>
    <row r="964" spans="1:9" s="54" customFormat="1" ht="11.4" customHeight="1" x14ac:dyDescent="0.3">
      <c r="A964" s="33"/>
      <c r="B964" s="33"/>
      <c r="C964" s="33"/>
      <c r="D964" s="33"/>
      <c r="E964" s="33"/>
      <c r="F964" s="33"/>
      <c r="G964" s="33"/>
      <c r="H964" s="33"/>
      <c r="I964" s="33"/>
    </row>
    <row r="965" spans="1:9" s="54" customFormat="1" ht="11.4" customHeight="1" x14ac:dyDescent="0.3">
      <c r="A965" s="33"/>
      <c r="B965" s="33"/>
      <c r="C965" s="33"/>
      <c r="D965" s="33"/>
      <c r="E965" s="33"/>
      <c r="F965" s="33"/>
      <c r="G965" s="33"/>
      <c r="H965" s="33"/>
      <c r="I965" s="33"/>
    </row>
    <row r="966" spans="1:9" s="54" customFormat="1" ht="11.4" customHeight="1" x14ac:dyDescent="0.3">
      <c r="A966" s="33"/>
      <c r="B966" s="33"/>
      <c r="C966" s="33"/>
      <c r="D966" s="33"/>
      <c r="E966" s="33"/>
      <c r="F966" s="33"/>
      <c r="G966" s="33"/>
      <c r="H966" s="33"/>
      <c r="I966" s="33"/>
    </row>
    <row r="967" spans="1:9" s="54" customFormat="1" ht="11.4" customHeight="1" x14ac:dyDescent="0.3">
      <c r="A967" s="33"/>
      <c r="B967" s="33"/>
      <c r="C967" s="33"/>
      <c r="D967" s="33"/>
      <c r="E967" s="33"/>
      <c r="F967" s="33"/>
      <c r="G967" s="33"/>
      <c r="H967" s="33"/>
      <c r="I967" s="33"/>
    </row>
    <row r="968" spans="1:9" s="54" customFormat="1" ht="11.4" customHeight="1" x14ac:dyDescent="0.3">
      <c r="A968" s="33"/>
      <c r="B968" s="33"/>
      <c r="C968" s="33"/>
      <c r="D968" s="33"/>
      <c r="E968" s="33"/>
      <c r="F968" s="33"/>
      <c r="G968" s="33"/>
      <c r="H968" s="33"/>
      <c r="I968" s="33"/>
    </row>
    <row r="969" spans="1:9" s="54" customFormat="1" ht="11.4" customHeight="1" x14ac:dyDescent="0.3">
      <c r="A969" s="33"/>
      <c r="B969" s="33"/>
      <c r="C969" s="33"/>
      <c r="D969" s="33"/>
      <c r="E969" s="33"/>
      <c r="F969" s="33"/>
      <c r="G969" s="33"/>
      <c r="H969" s="33"/>
      <c r="I969" s="33"/>
    </row>
    <row r="970" spans="1:9" s="54" customFormat="1" ht="11.4" customHeight="1" x14ac:dyDescent="0.3">
      <c r="A970" s="33"/>
      <c r="B970" s="33"/>
      <c r="C970" s="33"/>
      <c r="D970" s="33"/>
      <c r="E970" s="33"/>
      <c r="F970" s="33"/>
      <c r="G970" s="33"/>
      <c r="H970" s="33"/>
      <c r="I970" s="33"/>
    </row>
    <row r="971" spans="1:9" s="54" customFormat="1" ht="11.4" customHeight="1" x14ac:dyDescent="0.3">
      <c r="A971" s="33"/>
      <c r="B971" s="33"/>
      <c r="C971" s="33"/>
      <c r="D971" s="33"/>
      <c r="E971" s="33"/>
      <c r="F971" s="33"/>
      <c r="G971" s="33"/>
      <c r="H971" s="33"/>
      <c r="I971" s="33"/>
    </row>
    <row r="972" spans="1:9" s="54" customFormat="1" ht="11.4" customHeight="1" x14ac:dyDescent="0.3">
      <c r="A972" s="33"/>
      <c r="B972" s="33"/>
      <c r="C972" s="33"/>
      <c r="D972" s="33"/>
      <c r="E972" s="33"/>
      <c r="F972" s="33"/>
      <c r="G972" s="33"/>
      <c r="H972" s="33"/>
      <c r="I972" s="33"/>
    </row>
    <row r="973" spans="1:9" s="54" customFormat="1" ht="11.4" customHeight="1" x14ac:dyDescent="0.3">
      <c r="A973" s="33"/>
      <c r="B973" s="33"/>
      <c r="C973" s="33"/>
      <c r="D973" s="33"/>
      <c r="E973" s="33"/>
      <c r="F973" s="33"/>
      <c r="G973" s="33"/>
      <c r="H973" s="33"/>
      <c r="I973" s="33"/>
    </row>
    <row r="974" spans="1:9" s="54" customFormat="1" ht="11.4" customHeight="1" x14ac:dyDescent="0.3">
      <c r="A974" s="33"/>
      <c r="B974" s="33"/>
      <c r="C974" s="33"/>
      <c r="D974" s="33"/>
      <c r="E974" s="33"/>
      <c r="F974" s="33"/>
      <c r="G974" s="33"/>
      <c r="H974" s="33"/>
      <c r="I974" s="33"/>
    </row>
    <row r="975" spans="1:9" s="54" customFormat="1" ht="11.4" customHeight="1" x14ac:dyDescent="0.3">
      <c r="A975" s="33"/>
      <c r="B975" s="33"/>
      <c r="C975" s="33"/>
      <c r="D975" s="33"/>
      <c r="E975" s="33"/>
      <c r="F975" s="33"/>
      <c r="G975" s="33"/>
      <c r="H975" s="33"/>
      <c r="I975" s="33"/>
    </row>
    <row r="976" spans="1:9" s="54" customFormat="1" ht="11.4" customHeight="1" x14ac:dyDescent="0.3">
      <c r="A976" s="33"/>
      <c r="B976" s="33"/>
      <c r="C976" s="33"/>
      <c r="D976" s="33"/>
      <c r="E976" s="33"/>
      <c r="F976" s="33"/>
      <c r="G976" s="33"/>
      <c r="H976" s="33"/>
      <c r="I976" s="33"/>
    </row>
    <row r="977" spans="1:9" s="54" customFormat="1" ht="11.4" customHeight="1" x14ac:dyDescent="0.3">
      <c r="A977" s="33"/>
      <c r="B977" s="33"/>
      <c r="C977" s="33"/>
      <c r="D977" s="33"/>
      <c r="E977" s="33"/>
      <c r="F977" s="33"/>
      <c r="G977" s="33"/>
      <c r="H977" s="33"/>
      <c r="I977" s="33"/>
    </row>
    <row r="978" spans="1:9" s="54" customFormat="1" ht="11.4" customHeight="1" x14ac:dyDescent="0.3">
      <c r="A978" s="33"/>
      <c r="B978" s="33"/>
      <c r="C978" s="33"/>
      <c r="D978" s="33"/>
      <c r="E978" s="33"/>
      <c r="F978" s="33"/>
      <c r="G978" s="33"/>
      <c r="H978" s="33"/>
      <c r="I978" s="33"/>
    </row>
    <row r="979" spans="1:9" s="54" customFormat="1" ht="11.4" customHeight="1" x14ac:dyDescent="0.3">
      <c r="A979" s="33"/>
      <c r="B979" s="33"/>
      <c r="C979" s="33"/>
      <c r="D979" s="33"/>
      <c r="E979" s="33"/>
      <c r="F979" s="33"/>
      <c r="G979" s="33"/>
      <c r="H979" s="33"/>
      <c r="I979" s="33"/>
    </row>
    <row r="980" spans="1:9" s="54" customFormat="1" ht="11.4" customHeight="1" x14ac:dyDescent="0.3">
      <c r="A980" s="33"/>
      <c r="B980" s="33"/>
      <c r="C980" s="33"/>
      <c r="D980" s="33"/>
      <c r="E980" s="33"/>
      <c r="F980" s="33"/>
      <c r="G980" s="33"/>
      <c r="H980" s="33"/>
      <c r="I980" s="33"/>
    </row>
    <row r="981" spans="1:9" s="54" customFormat="1" ht="11.4" customHeight="1" x14ac:dyDescent="0.3">
      <c r="A981" s="33"/>
      <c r="B981" s="33"/>
      <c r="C981" s="33"/>
      <c r="D981" s="33"/>
      <c r="E981" s="33"/>
      <c r="F981" s="33"/>
      <c r="G981" s="33"/>
      <c r="H981" s="33"/>
      <c r="I981" s="33"/>
    </row>
    <row r="982" spans="1:9" s="54" customFormat="1" ht="11.4" customHeight="1" x14ac:dyDescent="0.3">
      <c r="A982" s="33"/>
      <c r="B982" s="33"/>
      <c r="C982" s="33"/>
      <c r="D982" s="33"/>
      <c r="E982" s="33"/>
      <c r="F982" s="33"/>
      <c r="G982" s="33"/>
      <c r="H982" s="33"/>
      <c r="I982" s="33"/>
    </row>
    <row r="983" spans="1:9" s="54" customFormat="1" ht="11.4" customHeight="1" x14ac:dyDescent="0.3">
      <c r="A983" s="33"/>
      <c r="B983" s="33"/>
      <c r="C983" s="33"/>
      <c r="D983" s="33"/>
      <c r="E983" s="33"/>
      <c r="F983" s="33"/>
      <c r="G983" s="33"/>
      <c r="H983" s="33"/>
      <c r="I983" s="33"/>
    </row>
    <row r="984" spans="1:9" s="54" customFormat="1" ht="11.4" customHeight="1" x14ac:dyDescent="0.3">
      <c r="A984" s="33"/>
      <c r="B984" s="33"/>
      <c r="C984" s="33"/>
      <c r="D984" s="33"/>
      <c r="E984" s="33"/>
      <c r="F984" s="33"/>
      <c r="G984" s="33"/>
      <c r="H984" s="33"/>
      <c r="I984" s="33"/>
    </row>
    <row r="985" spans="1:9" s="54" customFormat="1" ht="11.4" customHeight="1" x14ac:dyDescent="0.3">
      <c r="A985" s="33"/>
      <c r="B985" s="33"/>
      <c r="C985" s="33"/>
      <c r="D985" s="33"/>
      <c r="E985" s="33"/>
      <c r="F985" s="33"/>
      <c r="G985" s="33"/>
      <c r="H985" s="33"/>
      <c r="I985" s="33"/>
    </row>
    <row r="986" spans="1:9" s="54" customFormat="1" ht="11.4" customHeight="1" x14ac:dyDescent="0.3">
      <c r="A986" s="33"/>
      <c r="B986" s="33"/>
      <c r="C986" s="33"/>
      <c r="D986" s="33"/>
      <c r="E986" s="33"/>
      <c r="F986" s="33"/>
      <c r="G986" s="33"/>
      <c r="H986" s="33"/>
      <c r="I986" s="33"/>
    </row>
    <row r="987" spans="1:9" s="54" customFormat="1" ht="11.4" customHeight="1" x14ac:dyDescent="0.3">
      <c r="A987" s="33"/>
      <c r="B987" s="33"/>
      <c r="C987" s="33"/>
      <c r="D987" s="33"/>
      <c r="E987" s="33"/>
      <c r="F987" s="33"/>
      <c r="G987" s="33"/>
      <c r="H987" s="33"/>
      <c r="I987" s="33"/>
    </row>
    <row r="988" spans="1:9" s="54" customFormat="1" ht="11.4" customHeight="1" x14ac:dyDescent="0.3">
      <c r="A988" s="33"/>
      <c r="B988" s="33"/>
      <c r="C988" s="33"/>
      <c r="D988" s="33"/>
      <c r="E988" s="33"/>
      <c r="F988" s="33"/>
      <c r="G988" s="33"/>
      <c r="H988" s="33"/>
      <c r="I988" s="33"/>
    </row>
    <row r="989" spans="1:9" s="54" customFormat="1" ht="11.4" customHeight="1" x14ac:dyDescent="0.3">
      <c r="A989" s="33"/>
      <c r="B989" s="33"/>
      <c r="C989" s="33"/>
      <c r="D989" s="33"/>
      <c r="E989" s="33"/>
      <c r="F989" s="33"/>
      <c r="G989" s="33"/>
      <c r="H989" s="33"/>
      <c r="I989" s="33"/>
    </row>
    <row r="990" spans="1:9" s="54" customFormat="1" ht="11.4" customHeight="1" x14ac:dyDescent="0.3">
      <c r="A990" s="33"/>
      <c r="B990" s="33"/>
      <c r="C990" s="33"/>
      <c r="D990" s="33"/>
      <c r="E990" s="33"/>
      <c r="F990" s="33"/>
      <c r="G990" s="33"/>
      <c r="H990" s="33"/>
      <c r="I990" s="33"/>
    </row>
    <row r="991" spans="1:9" s="54" customFormat="1" ht="11.4" customHeight="1" x14ac:dyDescent="0.3">
      <c r="A991" s="33"/>
      <c r="B991" s="33"/>
      <c r="C991" s="33"/>
      <c r="D991" s="33"/>
      <c r="E991" s="33"/>
      <c r="F991" s="33"/>
      <c r="G991" s="33"/>
      <c r="H991" s="33"/>
      <c r="I991" s="33"/>
    </row>
    <row r="992" spans="1:9" s="54" customFormat="1" ht="11.4" customHeight="1" x14ac:dyDescent="0.3">
      <c r="A992" s="33"/>
      <c r="B992" s="33"/>
      <c r="C992" s="33"/>
      <c r="D992" s="33"/>
      <c r="E992" s="33"/>
      <c r="F992" s="33"/>
      <c r="G992" s="33"/>
      <c r="H992" s="33"/>
      <c r="I992" s="33"/>
    </row>
    <row r="993" spans="1:9" s="54" customFormat="1" ht="11.4" customHeight="1" x14ac:dyDescent="0.3">
      <c r="A993" s="33"/>
      <c r="B993" s="33"/>
      <c r="C993" s="33"/>
      <c r="D993" s="33"/>
      <c r="E993" s="33"/>
      <c r="F993" s="33"/>
      <c r="G993" s="33"/>
      <c r="H993" s="33"/>
      <c r="I993" s="33"/>
    </row>
    <row r="994" spans="1:9" s="54" customFormat="1" ht="11.4" customHeight="1" x14ac:dyDescent="0.3">
      <c r="A994" s="33"/>
      <c r="B994" s="33"/>
      <c r="C994" s="33"/>
      <c r="D994" s="33"/>
      <c r="E994" s="33"/>
      <c r="F994" s="33"/>
      <c r="G994" s="33"/>
      <c r="H994" s="33"/>
      <c r="I994" s="33"/>
    </row>
    <row r="995" spans="1:9" s="54" customFormat="1" ht="11.4" customHeight="1" x14ac:dyDescent="0.3">
      <c r="A995" s="33"/>
      <c r="B995" s="33"/>
      <c r="C995" s="33"/>
      <c r="D995" s="33"/>
      <c r="E995" s="33"/>
      <c r="F995" s="33"/>
      <c r="G995" s="33"/>
      <c r="H995" s="33"/>
      <c r="I995" s="33"/>
    </row>
    <row r="996" spans="1:9" s="54" customFormat="1" ht="11.4" customHeight="1" x14ac:dyDescent="0.3">
      <c r="A996" s="33"/>
      <c r="B996" s="33"/>
      <c r="C996" s="33"/>
      <c r="D996" s="33"/>
      <c r="E996" s="33"/>
      <c r="F996" s="33"/>
      <c r="G996" s="33"/>
      <c r="H996" s="33"/>
      <c r="I996" s="33"/>
    </row>
    <row r="997" spans="1:9" s="54" customFormat="1" ht="11.4" customHeight="1" x14ac:dyDescent="0.3">
      <c r="A997" s="33"/>
      <c r="B997" s="33"/>
      <c r="C997" s="33"/>
      <c r="D997" s="33"/>
      <c r="E997" s="33"/>
      <c r="F997" s="33"/>
      <c r="G997" s="33"/>
      <c r="H997" s="33"/>
      <c r="I997" s="33"/>
    </row>
    <row r="998" spans="1:9" s="54" customFormat="1" ht="11.4" customHeight="1" x14ac:dyDescent="0.3">
      <c r="A998" s="33"/>
      <c r="B998" s="33"/>
      <c r="C998" s="33"/>
      <c r="D998" s="33"/>
      <c r="E998" s="33"/>
      <c r="F998" s="33"/>
      <c r="G998" s="33"/>
      <c r="H998" s="33"/>
      <c r="I998" s="33"/>
    </row>
    <row r="999" spans="1:9" s="54" customFormat="1" ht="11.4" customHeight="1" x14ac:dyDescent="0.3">
      <c r="A999" s="33"/>
      <c r="B999" s="33"/>
      <c r="C999" s="33"/>
      <c r="D999" s="33"/>
      <c r="E999" s="33"/>
      <c r="F999" s="33"/>
      <c r="G999" s="33"/>
      <c r="H999" s="33"/>
      <c r="I999" s="3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99"/>
  <sheetViews>
    <sheetView workbookViewId="0">
      <selection activeCell="B22" sqref="B22"/>
    </sheetView>
  </sheetViews>
  <sheetFormatPr defaultColWidth="14.44140625" defaultRowHeight="14.4" x14ac:dyDescent="0.3"/>
  <cols>
    <col min="1" max="1" width="3" style="54" customWidth="1"/>
    <col min="2" max="2" width="30" style="54" customWidth="1"/>
    <col min="3" max="8" width="16" style="54" customWidth="1"/>
    <col min="9" max="26" width="8.6640625" style="54" customWidth="1"/>
  </cols>
  <sheetData>
    <row r="1" spans="1:10" s="54" customFormat="1" ht="11.4" customHeight="1" x14ac:dyDescent="0.3">
      <c r="A1" s="33"/>
      <c r="B1" s="33"/>
      <c r="C1" s="33"/>
      <c r="D1" s="33"/>
      <c r="E1" s="33"/>
      <c r="F1" s="33"/>
      <c r="G1" s="33"/>
      <c r="H1" s="33"/>
    </row>
    <row r="2" spans="1:10" s="54" customFormat="1" ht="11.4" customHeight="1" x14ac:dyDescent="0.3">
      <c r="A2" s="33"/>
      <c r="B2" s="33"/>
      <c r="C2" s="33"/>
      <c r="D2" s="33"/>
      <c r="E2" s="33"/>
      <c r="F2" s="33"/>
      <c r="G2" s="33"/>
      <c r="H2" s="33"/>
    </row>
    <row r="3" spans="1:10" s="54" customFormat="1" ht="12" customHeight="1" x14ac:dyDescent="0.3">
      <c r="A3" s="33"/>
      <c r="B3" s="37" t="s">
        <v>2</v>
      </c>
      <c r="C3" s="37">
        <v>2025</v>
      </c>
      <c r="D3" s="37" t="s">
        <v>95</v>
      </c>
      <c r="E3" s="37" t="s">
        <v>96</v>
      </c>
      <c r="F3" s="37" t="s">
        <v>97</v>
      </c>
      <c r="G3" s="37" t="s">
        <v>98</v>
      </c>
      <c r="H3" s="37" t="s">
        <v>99</v>
      </c>
    </row>
    <row r="4" spans="1:10" s="54" customFormat="1" ht="11.4" customHeight="1" x14ac:dyDescent="0.3">
      <c r="A4" s="33"/>
      <c r="B4" s="33"/>
      <c r="C4" s="33"/>
      <c r="D4" s="33"/>
      <c r="E4" s="33"/>
      <c r="F4" s="33"/>
      <c r="G4" s="33"/>
      <c r="H4" s="33"/>
    </row>
    <row r="5" spans="1:10" s="54" customFormat="1" ht="12" customHeight="1" x14ac:dyDescent="0.3">
      <c r="A5" s="33"/>
      <c r="B5" s="41" t="s">
        <v>119</v>
      </c>
      <c r="C5" s="38">
        <v>0</v>
      </c>
      <c r="D5" s="29">
        <f>Прогноз_Выручки!C18</f>
        <v>21244557.649999999</v>
      </c>
      <c r="E5" s="29">
        <f>Прогноз_Выручки!D18</f>
        <v>30579288.728799999</v>
      </c>
      <c r="F5" s="29">
        <f>Прогноз_Выручки!E18</f>
        <v>38177045.596623257</v>
      </c>
      <c r="G5" s="29">
        <f>Прогноз_Выручки!F18</f>
        <v>43869576.798815481</v>
      </c>
      <c r="H5" s="29">
        <f>Прогноз_Выручки!G18</f>
        <v>47478685.05155132</v>
      </c>
    </row>
    <row r="6" spans="1:10" s="54" customFormat="1" ht="12" customHeight="1" x14ac:dyDescent="0.3">
      <c r="A6" s="33"/>
      <c r="B6" s="41" t="s">
        <v>120</v>
      </c>
      <c r="C6" s="30">
        <f>C5*(1-AVERAGE(Допущения!$C$18:$E$18))</f>
        <v>0</v>
      </c>
      <c r="D6" s="30">
        <f>D5*(1-AVERAGE(Допущения!$C$18:$E$18))</f>
        <v>10622278.824999999</v>
      </c>
      <c r="E6" s="30">
        <f>E5*(1-AVERAGE(Допущения!$C$18:$E$18))</f>
        <v>15289644.364399999</v>
      </c>
      <c r="F6" s="30">
        <f>F5*(1-AVERAGE(Допущения!$C$18:$E$18))</f>
        <v>19088522.798311628</v>
      </c>
      <c r="G6" s="30">
        <f>G5*(1-AVERAGE(Допущения!$C$18:$E$18))</f>
        <v>21934788.399407741</v>
      </c>
      <c r="H6" s="30">
        <f>H5*(1-AVERAGE(Допущения!$C$18:$E$18))</f>
        <v>23739342.52577566</v>
      </c>
    </row>
    <row r="7" spans="1:10" s="54" customFormat="1" ht="12" customHeight="1" x14ac:dyDescent="0.3">
      <c r="A7" s="33"/>
      <c r="B7" s="39" t="s">
        <v>121</v>
      </c>
      <c r="C7" s="40">
        <f t="shared" ref="C7:H7" si="0">C5-C6</f>
        <v>0</v>
      </c>
      <c r="D7" s="40">
        <f t="shared" si="0"/>
        <v>10622278.824999999</v>
      </c>
      <c r="E7" s="40">
        <f t="shared" si="0"/>
        <v>15289644.364399999</v>
      </c>
      <c r="F7" s="40">
        <f t="shared" si="0"/>
        <v>19088522.798311628</v>
      </c>
      <c r="G7" s="40">
        <f t="shared" si="0"/>
        <v>21934788.399407741</v>
      </c>
      <c r="H7" s="40">
        <f t="shared" si="0"/>
        <v>23739342.52577566</v>
      </c>
    </row>
    <row r="8" spans="1:10" s="54" customFormat="1" ht="12" customHeight="1" x14ac:dyDescent="0.3">
      <c r="A8" s="33"/>
      <c r="B8" s="41" t="s">
        <v>122</v>
      </c>
      <c r="C8" s="38">
        <v>0</v>
      </c>
      <c r="D8" s="29">
        <f>Затраты!C45</f>
        <v>8780169.4700897932</v>
      </c>
      <c r="E8" s="29">
        <f>Затраты!D45</f>
        <v>8438699.8861768059</v>
      </c>
      <c r="F8" s="29">
        <f>Затраты!E45</f>
        <v>6769293.031491084</v>
      </c>
      <c r="G8" s="29">
        <f>Затраты!F45</f>
        <v>6389882.3826988749</v>
      </c>
      <c r="H8" s="29">
        <f>Затраты!G45</f>
        <v>5403414.6958391294</v>
      </c>
    </row>
    <row r="9" spans="1:10" s="54" customFormat="1" ht="12" customHeight="1" x14ac:dyDescent="0.3">
      <c r="A9" s="33"/>
      <c r="B9" s="39" t="s">
        <v>123</v>
      </c>
      <c r="C9" s="40">
        <f t="shared" ref="C9:H9" si="1">C7-C8</f>
        <v>0</v>
      </c>
      <c r="D9" s="40">
        <f t="shared" si="1"/>
        <v>1842109.354910206</v>
      </c>
      <c r="E9" s="40">
        <f t="shared" si="1"/>
        <v>6850944.4782231934</v>
      </c>
      <c r="F9" s="40">
        <f t="shared" si="1"/>
        <v>12319229.766820544</v>
      </c>
      <c r="G9" s="40">
        <f t="shared" si="1"/>
        <v>15544906.016708866</v>
      </c>
      <c r="H9" s="40">
        <f t="shared" si="1"/>
        <v>18335927.82993653</v>
      </c>
    </row>
    <row r="10" spans="1:10" s="54" customFormat="1" ht="12" customHeight="1" x14ac:dyDescent="0.3">
      <c r="A10" s="33"/>
      <c r="B10" s="41" t="s">
        <v>124</v>
      </c>
      <c r="C10" s="30">
        <f>MAX(C9*Допущения!$C$8,0)</f>
        <v>0</v>
      </c>
      <c r="D10" s="30">
        <f>MAX(D9*Допущения!$C$8,0)</f>
        <v>460527.33872755151</v>
      </c>
      <c r="E10" s="30">
        <f>MAX(E9*Допущения!$C$8,0)</f>
        <v>1712736.1195557984</v>
      </c>
      <c r="F10" s="30">
        <f>MAX(F9*Допущения!$C$8,0)</f>
        <v>3079807.4417051361</v>
      </c>
      <c r="G10" s="30">
        <f>MAX(G9*Допущения!$C$8,0)</f>
        <v>3886226.5041772164</v>
      </c>
      <c r="H10" s="30">
        <f>MAX(H9*Допущения!$C$8,0)</f>
        <v>4583981.9574841326</v>
      </c>
    </row>
    <row r="11" spans="1:10" s="54" customFormat="1" ht="12" customHeight="1" x14ac:dyDescent="0.3">
      <c r="A11" s="33"/>
      <c r="B11" s="39" t="s">
        <v>125</v>
      </c>
      <c r="C11" s="40">
        <f t="shared" ref="C11:H11" si="2">C9-C10</f>
        <v>0</v>
      </c>
      <c r="D11" s="40">
        <f t="shared" si="2"/>
        <v>1381582.0161826545</v>
      </c>
      <c r="E11" s="40">
        <f t="shared" si="2"/>
        <v>5138208.3586673951</v>
      </c>
      <c r="F11" s="40">
        <f t="shared" si="2"/>
        <v>9239422.3251154087</v>
      </c>
      <c r="G11" s="40">
        <f t="shared" si="2"/>
        <v>11658679.512531649</v>
      </c>
      <c r="H11" s="40">
        <f t="shared" si="2"/>
        <v>13751945.872452397</v>
      </c>
    </row>
    <row r="12" spans="1:10" s="54" customFormat="1" ht="12" customHeight="1" x14ac:dyDescent="0.3">
      <c r="A12" s="33"/>
      <c r="B12" s="41" t="s">
        <v>126</v>
      </c>
      <c r="C12" s="42">
        <f>-Затраты!C45</f>
        <v>-8780169.4700897932</v>
      </c>
      <c r="D12" s="42">
        <v>0</v>
      </c>
      <c r="E12" s="42">
        <v>0</v>
      </c>
      <c r="F12" s="42">
        <v>0</v>
      </c>
      <c r="G12" s="42">
        <v>0</v>
      </c>
      <c r="H12" s="42">
        <v>0</v>
      </c>
    </row>
    <row r="13" spans="1:10" s="54" customFormat="1" ht="12" customHeight="1" x14ac:dyDescent="0.3">
      <c r="A13" s="33"/>
      <c r="B13" s="31" t="s">
        <v>127</v>
      </c>
      <c r="C13" s="32">
        <f t="shared" ref="C13:H13" si="3">C11+C12</f>
        <v>-8780169.4700897932</v>
      </c>
      <c r="D13" s="32">
        <f t="shared" si="3"/>
        <v>1381582.0161826545</v>
      </c>
      <c r="E13" s="32">
        <f t="shared" si="3"/>
        <v>5138208.3586673951</v>
      </c>
      <c r="F13" s="32">
        <f t="shared" si="3"/>
        <v>9239422.3251154087</v>
      </c>
      <c r="G13" s="32">
        <f t="shared" si="3"/>
        <v>11658679.512531649</v>
      </c>
      <c r="H13" s="32">
        <f t="shared" si="3"/>
        <v>13751945.872452397</v>
      </c>
    </row>
    <row r="14" spans="1:10" s="54" customFormat="1" ht="12" customHeight="1" x14ac:dyDescent="0.3">
      <c r="A14" s="33"/>
      <c r="B14" s="31" t="s">
        <v>128</v>
      </c>
      <c r="C14" s="30">
        <f>C13/(1+Допущения!$C$7)^0</f>
        <v>-8780169.4700897932</v>
      </c>
      <c r="D14" s="30">
        <f>D13/(1+Допущения!$C$7)^1</f>
        <v>1162947.8250695746</v>
      </c>
      <c r="E14" s="30">
        <f>E13/(1+Допущения!$C$7)^2</f>
        <v>3640649.1675079889</v>
      </c>
      <c r="F14" s="30">
        <f>F13/(1+Допущения!$C$7)^3</f>
        <v>5510556.9722600691</v>
      </c>
      <c r="G14" s="30">
        <f>G13/(1+Допущения!$C$7)^4</f>
        <v>5853068.4283158025</v>
      </c>
      <c r="H14" s="30">
        <f>H13/(1+Допущения!$C$7)^5</f>
        <v>5811415.8169205897</v>
      </c>
    </row>
    <row r="15" spans="1:10" s="54" customFormat="1" ht="12" customHeight="1" x14ac:dyDescent="0.3">
      <c r="A15" s="33"/>
      <c r="B15" s="43" t="s">
        <v>129</v>
      </c>
      <c r="C15" s="40">
        <f>C14</f>
        <v>-8780169.4700897932</v>
      </c>
      <c r="D15" s="40">
        <f>C15+D14</f>
        <v>-7617221.6450202186</v>
      </c>
      <c r="E15" s="40">
        <f>D15+E14</f>
        <v>-3976572.4775122297</v>
      </c>
      <c r="F15" s="40">
        <f>E15+F14</f>
        <v>1533984.4947478394</v>
      </c>
      <c r="G15" s="40">
        <f>F15+G14</f>
        <v>7387052.9230636414</v>
      </c>
      <c r="H15" s="40">
        <f>G15+H14</f>
        <v>13198468.739984231</v>
      </c>
    </row>
    <row r="16" spans="1:10" s="54" customFormat="1" ht="11.4" customHeight="1" x14ac:dyDescent="0.3">
      <c r="A16" s="62"/>
      <c r="B16" s="62"/>
      <c r="C16" s="62"/>
      <c r="D16" s="62"/>
      <c r="E16" s="62"/>
      <c r="F16" s="62"/>
      <c r="G16" s="62"/>
      <c r="H16" s="62"/>
      <c r="I16" s="62"/>
      <c r="J16" s="62"/>
    </row>
    <row r="17" spans="1:10" s="54" customFormat="1" ht="11.4" customHeight="1" x14ac:dyDescent="0.3">
      <c r="A17" s="62"/>
      <c r="B17" s="62"/>
      <c r="C17" s="62"/>
      <c r="D17" s="62"/>
      <c r="E17" s="62"/>
      <c r="F17" s="62"/>
      <c r="G17" s="62"/>
      <c r="H17" s="62"/>
      <c r="I17" s="62"/>
      <c r="J17" s="62"/>
    </row>
    <row r="18" spans="1:10" s="54" customFormat="1" ht="11.4" customHeight="1" x14ac:dyDescent="0.3">
      <c r="A18" s="62"/>
      <c r="B18" s="62"/>
      <c r="C18" s="62"/>
      <c r="D18" s="62"/>
      <c r="E18" s="62"/>
      <c r="F18" s="62"/>
      <c r="G18" s="62"/>
      <c r="H18" s="62"/>
      <c r="I18" s="62"/>
      <c r="J18" s="62"/>
    </row>
    <row r="19" spans="1:10" s="54" customFormat="1" ht="11.4" customHeight="1" x14ac:dyDescent="0.3">
      <c r="A19" s="62"/>
      <c r="B19" s="62"/>
      <c r="C19" s="62"/>
      <c r="D19" s="62"/>
      <c r="E19" s="62"/>
      <c r="F19" s="62"/>
      <c r="G19" s="62"/>
      <c r="H19" s="62"/>
      <c r="I19" s="62"/>
      <c r="J19" s="62"/>
    </row>
    <row r="20" spans="1:10" s="54" customFormat="1" ht="11.4" customHeight="1" x14ac:dyDescent="0.3">
      <c r="A20" s="62"/>
      <c r="B20" s="62"/>
      <c r="C20" s="62"/>
      <c r="D20" s="62"/>
      <c r="E20" s="62"/>
      <c r="F20" s="62"/>
      <c r="G20" s="62"/>
      <c r="H20" s="62"/>
      <c r="I20" s="62"/>
      <c r="J20" s="62"/>
    </row>
    <row r="21" spans="1:10" s="54" customFormat="1" ht="11.4" customHeight="1" x14ac:dyDescent="0.3">
      <c r="A21" s="62"/>
      <c r="B21" s="62"/>
      <c r="C21" s="62"/>
      <c r="D21" s="62"/>
      <c r="E21" s="62"/>
      <c r="F21" s="62"/>
      <c r="G21" s="62"/>
      <c r="H21" s="62"/>
      <c r="I21" s="62"/>
      <c r="J21" s="62"/>
    </row>
    <row r="22" spans="1:10" s="54" customFormat="1" ht="11.4" customHeight="1" x14ac:dyDescent="0.3">
      <c r="A22" s="62"/>
      <c r="B22" s="62"/>
      <c r="C22" s="62"/>
      <c r="D22" s="62"/>
      <c r="E22" s="62"/>
      <c r="F22" s="62"/>
      <c r="G22" s="62"/>
      <c r="H22" s="62"/>
      <c r="I22" s="62"/>
      <c r="J22" s="62"/>
    </row>
    <row r="23" spans="1:10" s="54" customFormat="1" ht="11.4" customHeight="1" x14ac:dyDescent="0.3">
      <c r="A23" s="62"/>
      <c r="B23" s="62"/>
      <c r="C23" s="62"/>
      <c r="D23" s="62"/>
      <c r="E23" s="62"/>
      <c r="F23" s="62"/>
      <c r="G23" s="62"/>
      <c r="H23" s="62"/>
      <c r="I23" s="62"/>
      <c r="J23" s="62"/>
    </row>
    <row r="24" spans="1:10" s="54" customFormat="1" ht="11.4" customHeight="1" x14ac:dyDescent="0.3">
      <c r="A24" s="62"/>
      <c r="B24" s="62"/>
      <c r="C24" s="62"/>
      <c r="D24" s="62"/>
      <c r="E24" s="62"/>
      <c r="F24" s="62"/>
      <c r="G24" s="62"/>
      <c r="H24" s="62"/>
      <c r="I24" s="62"/>
      <c r="J24" s="62"/>
    </row>
    <row r="25" spans="1:10" s="54" customFormat="1" ht="11.4" customHeight="1" x14ac:dyDescent="0.3">
      <c r="A25" s="62"/>
      <c r="B25" s="62"/>
      <c r="C25" s="62"/>
      <c r="D25" s="62"/>
      <c r="E25" s="62"/>
      <c r="F25" s="62"/>
      <c r="G25" s="62"/>
      <c r="H25" s="62"/>
      <c r="I25" s="62"/>
      <c r="J25" s="62"/>
    </row>
    <row r="26" spans="1:10" s="54" customFormat="1" ht="11.4" customHeight="1" x14ac:dyDescent="0.3">
      <c r="A26" s="62"/>
      <c r="B26" s="62"/>
      <c r="C26" s="62"/>
      <c r="D26" s="62"/>
      <c r="E26" s="62"/>
      <c r="F26" s="62"/>
      <c r="G26" s="62"/>
      <c r="H26" s="62"/>
      <c r="I26" s="62"/>
      <c r="J26" s="62"/>
    </row>
    <row r="27" spans="1:10" s="54" customFormat="1" ht="11.4" customHeight="1" x14ac:dyDescent="0.3">
      <c r="A27" s="62"/>
      <c r="B27" s="62"/>
      <c r="C27" s="62"/>
      <c r="D27" s="62"/>
      <c r="E27" s="62"/>
      <c r="F27" s="62"/>
      <c r="G27" s="62"/>
      <c r="H27" s="62"/>
      <c r="I27" s="62"/>
      <c r="J27" s="62"/>
    </row>
    <row r="28" spans="1:10" s="54" customFormat="1" ht="11.4" customHeight="1" x14ac:dyDescent="0.3">
      <c r="A28" s="62"/>
      <c r="B28" s="62"/>
      <c r="C28" s="62"/>
      <c r="D28" s="62"/>
      <c r="E28" s="62"/>
      <c r="F28" s="62"/>
      <c r="G28" s="62"/>
      <c r="H28" s="62"/>
      <c r="I28" s="62"/>
      <c r="J28" s="62"/>
    </row>
    <row r="29" spans="1:10" s="54" customFormat="1" ht="11.4" customHeight="1" x14ac:dyDescent="0.3">
      <c r="A29" s="62"/>
      <c r="B29" s="62"/>
      <c r="C29" s="62"/>
      <c r="D29" s="62"/>
      <c r="E29" s="62"/>
      <c r="F29" s="62"/>
      <c r="G29" s="62"/>
      <c r="H29" s="62"/>
      <c r="I29" s="62"/>
      <c r="J29" s="62"/>
    </row>
    <row r="30" spans="1:10" s="54" customFormat="1" ht="11.4" customHeight="1" x14ac:dyDescent="0.3">
      <c r="A30" s="62"/>
      <c r="B30" s="62"/>
      <c r="C30" s="62"/>
      <c r="D30" s="62"/>
      <c r="E30" s="62"/>
      <c r="F30" s="62"/>
      <c r="G30" s="62"/>
      <c r="H30" s="62"/>
      <c r="I30" s="62"/>
      <c r="J30" s="62"/>
    </row>
    <row r="31" spans="1:10" s="54" customFormat="1" ht="11.4" customHeight="1" x14ac:dyDescent="0.3">
      <c r="A31" s="62"/>
      <c r="B31" s="62"/>
      <c r="C31" s="62"/>
      <c r="D31" s="62"/>
      <c r="E31" s="62"/>
      <c r="F31" s="62"/>
      <c r="G31" s="62"/>
      <c r="H31" s="62"/>
      <c r="I31" s="62"/>
      <c r="J31" s="62"/>
    </row>
    <row r="32" spans="1:10" s="54" customFormat="1" ht="11.4" customHeight="1" x14ac:dyDescent="0.3">
      <c r="A32" s="62"/>
      <c r="B32" s="62"/>
      <c r="C32" s="62"/>
      <c r="D32" s="62"/>
      <c r="E32" s="62"/>
      <c r="F32" s="62"/>
      <c r="G32" s="62"/>
      <c r="H32" s="62"/>
      <c r="I32" s="62"/>
      <c r="J32" s="62"/>
    </row>
    <row r="33" spans="1:10" s="54" customFormat="1" ht="11.4" customHeight="1" x14ac:dyDescent="0.3">
      <c r="A33" s="62"/>
      <c r="B33" s="62"/>
      <c r="C33" s="62"/>
      <c r="D33" s="62"/>
      <c r="E33" s="62"/>
      <c r="F33" s="62"/>
      <c r="G33" s="62"/>
      <c r="H33" s="62"/>
      <c r="I33" s="62"/>
      <c r="J33" s="62"/>
    </row>
    <row r="34" spans="1:10" s="54" customFormat="1" ht="11.4" customHeight="1" x14ac:dyDescent="0.3">
      <c r="A34" s="62"/>
      <c r="B34" s="62"/>
      <c r="C34" s="62"/>
      <c r="D34" s="62"/>
      <c r="E34" s="62"/>
      <c r="F34" s="62"/>
      <c r="G34" s="62"/>
      <c r="H34" s="62"/>
      <c r="I34" s="62"/>
      <c r="J34" s="62"/>
    </row>
    <row r="35" spans="1:10" s="54" customFormat="1" ht="11.4" customHeight="1" x14ac:dyDescent="0.3">
      <c r="A35" s="62"/>
      <c r="B35" s="62"/>
      <c r="C35" s="62"/>
      <c r="D35" s="62"/>
      <c r="E35" s="62"/>
      <c r="F35" s="62"/>
      <c r="G35" s="62"/>
      <c r="H35" s="62"/>
      <c r="I35" s="62"/>
      <c r="J35" s="62"/>
    </row>
    <row r="36" spans="1:10" s="54" customFormat="1" ht="11.4" customHeight="1" x14ac:dyDescent="0.3">
      <c r="A36" s="62"/>
      <c r="B36" s="62"/>
      <c r="C36" s="62"/>
      <c r="D36" s="62"/>
      <c r="E36" s="62"/>
      <c r="F36" s="62"/>
      <c r="G36" s="62"/>
      <c r="H36" s="62"/>
      <c r="I36" s="62"/>
      <c r="J36" s="62"/>
    </row>
    <row r="37" spans="1:10" s="54" customFormat="1" ht="11.4" customHeight="1" x14ac:dyDescent="0.3">
      <c r="A37" s="62"/>
      <c r="B37" s="62"/>
      <c r="C37" s="62"/>
      <c r="D37" s="62"/>
      <c r="E37" s="62"/>
      <c r="F37" s="62"/>
      <c r="G37" s="62"/>
      <c r="H37" s="62"/>
      <c r="I37" s="62"/>
      <c r="J37" s="62"/>
    </row>
    <row r="38" spans="1:10" s="54" customFormat="1" ht="11.4" customHeight="1" x14ac:dyDescent="0.3">
      <c r="A38" s="62"/>
      <c r="B38" s="62"/>
      <c r="C38" s="62"/>
      <c r="D38" s="62"/>
      <c r="E38" s="62"/>
      <c r="F38" s="62"/>
      <c r="G38" s="62"/>
      <c r="H38" s="62"/>
      <c r="I38" s="62"/>
      <c r="J38" s="62"/>
    </row>
    <row r="39" spans="1:10" s="54" customFormat="1" ht="11.4" customHeight="1" x14ac:dyDescent="0.3">
      <c r="A39" s="33"/>
      <c r="B39" s="33"/>
      <c r="C39" s="33"/>
      <c r="D39" s="33"/>
      <c r="E39" s="33"/>
      <c r="F39" s="33"/>
      <c r="G39" s="33"/>
      <c r="H39" s="33"/>
    </row>
    <row r="40" spans="1:10" s="54" customFormat="1" ht="11.4" customHeight="1" x14ac:dyDescent="0.3">
      <c r="A40" s="33"/>
      <c r="B40" s="33"/>
      <c r="C40" s="33"/>
      <c r="D40" s="33"/>
      <c r="E40" s="33"/>
      <c r="F40" s="33"/>
      <c r="G40" s="33"/>
      <c r="H40" s="33"/>
    </row>
    <row r="41" spans="1:10" s="54" customFormat="1" ht="11.4" customHeight="1" x14ac:dyDescent="0.3">
      <c r="A41" s="33"/>
      <c r="B41" s="33"/>
      <c r="C41" s="33"/>
      <c r="D41" s="33"/>
      <c r="E41" s="33"/>
      <c r="F41" s="33"/>
      <c r="G41" s="33"/>
      <c r="H41" s="33"/>
    </row>
    <row r="42" spans="1:10" s="54" customFormat="1" ht="11.4" customHeight="1" x14ac:dyDescent="0.3">
      <c r="A42" s="33"/>
      <c r="B42" s="33"/>
      <c r="C42" s="33"/>
      <c r="D42" s="33"/>
      <c r="E42" s="33"/>
      <c r="F42" s="33"/>
      <c r="G42" s="33"/>
      <c r="H42" s="33"/>
    </row>
    <row r="43" spans="1:10" s="54" customFormat="1" ht="11.4" customHeight="1" x14ac:dyDescent="0.3">
      <c r="A43" s="33"/>
      <c r="B43" s="33"/>
      <c r="C43" s="33"/>
      <c r="D43" s="33"/>
      <c r="E43" s="33"/>
      <c r="F43" s="33"/>
      <c r="G43" s="33"/>
      <c r="H43" s="33"/>
    </row>
    <row r="44" spans="1:10" s="54" customFormat="1" ht="11.4" customHeight="1" x14ac:dyDescent="0.3">
      <c r="A44" s="33"/>
      <c r="B44" s="33"/>
      <c r="C44" s="33"/>
      <c r="D44" s="33"/>
      <c r="E44" s="33"/>
      <c r="F44" s="33"/>
      <c r="G44" s="33"/>
      <c r="H44" s="33"/>
    </row>
    <row r="45" spans="1:10" s="54" customFormat="1" ht="11.4" customHeight="1" x14ac:dyDescent="0.3">
      <c r="A45" s="33"/>
      <c r="B45" s="33"/>
      <c r="C45" s="33"/>
      <c r="D45" s="33"/>
      <c r="E45" s="33"/>
      <c r="F45" s="33"/>
      <c r="G45" s="33"/>
      <c r="H45" s="33"/>
    </row>
    <row r="46" spans="1:10" s="54" customFormat="1" ht="11.4" customHeight="1" x14ac:dyDescent="0.3">
      <c r="A46" s="33"/>
      <c r="B46" s="33"/>
      <c r="C46" s="33"/>
      <c r="D46" s="33"/>
      <c r="E46" s="33"/>
      <c r="F46" s="33"/>
      <c r="G46" s="33"/>
      <c r="H46" s="33"/>
    </row>
    <row r="47" spans="1:10" s="54" customFormat="1" ht="11.4" customHeight="1" x14ac:dyDescent="0.3">
      <c r="A47" s="33"/>
      <c r="B47" s="33"/>
      <c r="C47" s="33"/>
      <c r="D47" s="33"/>
      <c r="E47" s="33"/>
      <c r="F47" s="33"/>
      <c r="G47" s="33"/>
      <c r="H47" s="33"/>
    </row>
    <row r="48" spans="1:10" s="54" customFormat="1" ht="11.4" customHeight="1" x14ac:dyDescent="0.3">
      <c r="A48" s="33"/>
      <c r="B48" s="33"/>
      <c r="C48" s="33"/>
      <c r="D48" s="33"/>
      <c r="E48" s="33"/>
      <c r="F48" s="33"/>
      <c r="G48" s="33"/>
      <c r="H48" s="33"/>
    </row>
    <row r="49" spans="1:8" s="54" customFormat="1" ht="11.4" customHeight="1" x14ac:dyDescent="0.3">
      <c r="A49" s="33"/>
      <c r="B49" s="33"/>
      <c r="C49" s="33"/>
      <c r="D49" s="33"/>
      <c r="E49" s="33"/>
      <c r="F49" s="33"/>
      <c r="G49" s="33"/>
      <c r="H49" s="33"/>
    </row>
    <row r="50" spans="1:8" s="54" customFormat="1" ht="11.4" customHeight="1" x14ac:dyDescent="0.3">
      <c r="A50" s="33"/>
      <c r="B50" s="33"/>
      <c r="C50" s="33"/>
      <c r="D50" s="33"/>
      <c r="E50" s="33"/>
      <c r="F50" s="33"/>
      <c r="G50" s="33"/>
      <c r="H50" s="33"/>
    </row>
    <row r="51" spans="1:8" s="54" customFormat="1" ht="11.4" customHeight="1" x14ac:dyDescent="0.3">
      <c r="A51" s="33"/>
      <c r="B51" s="33"/>
      <c r="C51" s="33"/>
      <c r="D51" s="33"/>
      <c r="E51" s="33"/>
      <c r="F51" s="33"/>
      <c r="G51" s="33"/>
      <c r="H51" s="33"/>
    </row>
    <row r="52" spans="1:8" s="54" customFormat="1" ht="11.4" customHeight="1" x14ac:dyDescent="0.3">
      <c r="A52" s="33"/>
      <c r="B52" s="33"/>
      <c r="C52" s="33"/>
      <c r="D52" s="33"/>
      <c r="E52" s="33"/>
      <c r="F52" s="33"/>
      <c r="G52" s="33"/>
      <c r="H52" s="33"/>
    </row>
    <row r="53" spans="1:8" s="54" customFormat="1" ht="11.4" customHeight="1" x14ac:dyDescent="0.3">
      <c r="A53" s="33"/>
      <c r="B53" s="33"/>
      <c r="C53" s="33"/>
      <c r="D53" s="33"/>
      <c r="E53" s="33"/>
      <c r="F53" s="33"/>
      <c r="G53" s="33"/>
      <c r="H53" s="33"/>
    </row>
    <row r="54" spans="1:8" s="54" customFormat="1" ht="11.4" customHeight="1" x14ac:dyDescent="0.3">
      <c r="A54" s="33"/>
      <c r="B54" s="33"/>
      <c r="C54" s="33"/>
      <c r="D54" s="33"/>
      <c r="E54" s="33"/>
      <c r="F54" s="33"/>
      <c r="G54" s="33"/>
      <c r="H54" s="33"/>
    </row>
    <row r="55" spans="1:8" s="54" customFormat="1" ht="11.4" customHeight="1" x14ac:dyDescent="0.3">
      <c r="A55" s="33"/>
      <c r="B55" s="33"/>
      <c r="C55" s="33"/>
      <c r="D55" s="33"/>
      <c r="E55" s="33"/>
      <c r="F55" s="33"/>
      <c r="G55" s="33"/>
      <c r="H55" s="33"/>
    </row>
    <row r="56" spans="1:8" s="54" customFormat="1" ht="11.4" customHeight="1" x14ac:dyDescent="0.3">
      <c r="A56" s="33"/>
      <c r="B56" s="33"/>
      <c r="C56" s="33"/>
      <c r="D56" s="33"/>
      <c r="E56" s="33"/>
      <c r="F56" s="33"/>
      <c r="G56" s="33"/>
      <c r="H56" s="33"/>
    </row>
    <row r="57" spans="1:8" s="54" customFormat="1" ht="11.4" customHeight="1" x14ac:dyDescent="0.3">
      <c r="A57" s="33"/>
      <c r="B57" s="33"/>
      <c r="C57" s="33"/>
      <c r="D57" s="33"/>
      <c r="E57" s="33"/>
      <c r="F57" s="33"/>
      <c r="G57" s="33"/>
      <c r="H57" s="33"/>
    </row>
    <row r="58" spans="1:8" s="54" customFormat="1" ht="11.4" customHeight="1" x14ac:dyDescent="0.3">
      <c r="A58" s="33"/>
      <c r="B58" s="33"/>
      <c r="C58" s="33"/>
      <c r="D58" s="33"/>
      <c r="E58" s="33"/>
      <c r="F58" s="33"/>
      <c r="G58" s="33"/>
      <c r="H58" s="33"/>
    </row>
    <row r="59" spans="1:8" s="54" customFormat="1" ht="11.4" customHeight="1" x14ac:dyDescent="0.3">
      <c r="A59" s="33"/>
      <c r="B59" s="33"/>
      <c r="C59" s="33"/>
      <c r="D59" s="33"/>
      <c r="E59" s="33"/>
      <c r="F59" s="33"/>
      <c r="G59" s="33"/>
      <c r="H59" s="33"/>
    </row>
    <row r="60" spans="1:8" s="54" customFormat="1" ht="11.4" customHeight="1" x14ac:dyDescent="0.3">
      <c r="A60" s="33"/>
      <c r="B60" s="33"/>
      <c r="C60" s="33"/>
      <c r="D60" s="33"/>
      <c r="E60" s="33"/>
      <c r="F60" s="33"/>
      <c r="G60" s="33"/>
      <c r="H60" s="33"/>
    </row>
    <row r="61" spans="1:8" s="54" customFormat="1" ht="11.4" customHeight="1" x14ac:dyDescent="0.3">
      <c r="A61" s="33"/>
      <c r="B61" s="33"/>
      <c r="C61" s="33"/>
      <c r="D61" s="33"/>
      <c r="E61" s="33"/>
      <c r="F61" s="33"/>
      <c r="G61" s="33"/>
      <c r="H61" s="33"/>
    </row>
    <row r="62" spans="1:8" s="54" customFormat="1" ht="11.4" customHeight="1" x14ac:dyDescent="0.3">
      <c r="A62" s="33"/>
      <c r="B62" s="33"/>
      <c r="C62" s="33"/>
      <c r="D62" s="33"/>
      <c r="E62" s="33"/>
      <c r="F62" s="33"/>
      <c r="G62" s="33"/>
      <c r="H62" s="33"/>
    </row>
    <row r="63" spans="1:8" s="54" customFormat="1" ht="11.4" customHeight="1" x14ac:dyDescent="0.3">
      <c r="A63" s="33"/>
      <c r="B63" s="33"/>
      <c r="C63" s="33"/>
      <c r="D63" s="33"/>
      <c r="E63" s="33"/>
      <c r="F63" s="33"/>
      <c r="G63" s="33"/>
      <c r="H63" s="33"/>
    </row>
    <row r="64" spans="1:8" s="54" customFormat="1" ht="11.4" customHeight="1" x14ac:dyDescent="0.3">
      <c r="A64" s="33"/>
      <c r="B64" s="33"/>
      <c r="C64" s="33"/>
      <c r="D64" s="33"/>
      <c r="E64" s="33"/>
      <c r="F64" s="33"/>
      <c r="G64" s="33"/>
      <c r="H64" s="33"/>
    </row>
    <row r="65" spans="1:8" s="54" customFormat="1" ht="11.4" customHeight="1" x14ac:dyDescent="0.3">
      <c r="A65" s="33"/>
      <c r="B65" s="33"/>
      <c r="C65" s="33"/>
      <c r="D65" s="33"/>
      <c r="E65" s="33"/>
      <c r="F65" s="33"/>
      <c r="G65" s="33"/>
      <c r="H65" s="33"/>
    </row>
    <row r="66" spans="1:8" s="54" customFormat="1" ht="11.4" customHeight="1" x14ac:dyDescent="0.3">
      <c r="A66" s="33"/>
      <c r="B66" s="33"/>
      <c r="C66" s="33"/>
      <c r="D66" s="33"/>
      <c r="E66" s="33"/>
      <c r="F66" s="33"/>
      <c r="G66" s="33"/>
      <c r="H66" s="33"/>
    </row>
    <row r="67" spans="1:8" s="54" customFormat="1" ht="11.4" customHeight="1" x14ac:dyDescent="0.3">
      <c r="A67" s="33"/>
      <c r="B67" s="33"/>
      <c r="C67" s="33"/>
      <c r="D67" s="33"/>
      <c r="E67" s="33"/>
      <c r="F67" s="33"/>
      <c r="G67" s="33"/>
      <c r="H67" s="33"/>
    </row>
    <row r="68" spans="1:8" s="54" customFormat="1" ht="11.4" customHeight="1" x14ac:dyDescent="0.3">
      <c r="A68" s="33"/>
      <c r="B68" s="33"/>
      <c r="C68" s="33"/>
      <c r="D68" s="33"/>
      <c r="E68" s="33"/>
      <c r="F68" s="33"/>
      <c r="G68" s="33"/>
      <c r="H68" s="33"/>
    </row>
    <row r="69" spans="1:8" s="54" customFormat="1" ht="11.4" customHeight="1" x14ac:dyDescent="0.3">
      <c r="A69" s="33"/>
      <c r="B69" s="33"/>
      <c r="C69" s="33"/>
      <c r="D69" s="33"/>
      <c r="E69" s="33"/>
      <c r="F69" s="33"/>
      <c r="G69" s="33"/>
      <c r="H69" s="33"/>
    </row>
    <row r="70" spans="1:8" s="54" customFormat="1" ht="11.4" customHeight="1" x14ac:dyDescent="0.3">
      <c r="A70" s="33"/>
      <c r="B70" s="33"/>
      <c r="C70" s="33"/>
      <c r="D70" s="33"/>
      <c r="E70" s="33"/>
      <c r="F70" s="33"/>
      <c r="G70" s="33"/>
      <c r="H70" s="33"/>
    </row>
    <row r="71" spans="1:8" s="54" customFormat="1" ht="11.4" customHeight="1" x14ac:dyDescent="0.3">
      <c r="A71" s="33"/>
      <c r="B71" s="33"/>
      <c r="C71" s="33"/>
      <c r="D71" s="33"/>
      <c r="E71" s="33"/>
      <c r="F71" s="33"/>
      <c r="G71" s="33"/>
      <c r="H71" s="33"/>
    </row>
    <row r="72" spans="1:8" s="54" customFormat="1" ht="11.4" customHeight="1" x14ac:dyDescent="0.3">
      <c r="A72" s="33"/>
      <c r="B72" s="33"/>
      <c r="C72" s="33"/>
      <c r="D72" s="33"/>
      <c r="E72" s="33"/>
      <c r="F72" s="33"/>
      <c r="G72" s="33"/>
      <c r="H72" s="33"/>
    </row>
    <row r="73" spans="1:8" s="54" customFormat="1" ht="11.4" customHeight="1" x14ac:dyDescent="0.3">
      <c r="A73" s="33"/>
      <c r="B73" s="33"/>
      <c r="C73" s="33"/>
      <c r="D73" s="33"/>
      <c r="E73" s="33"/>
      <c r="F73" s="33"/>
      <c r="G73" s="33"/>
      <c r="H73" s="33"/>
    </row>
    <row r="74" spans="1:8" s="54" customFormat="1" ht="11.4" customHeight="1" x14ac:dyDescent="0.3">
      <c r="A74" s="33"/>
      <c r="B74" s="33"/>
      <c r="C74" s="33"/>
      <c r="D74" s="33"/>
      <c r="E74" s="33"/>
      <c r="F74" s="33"/>
      <c r="G74" s="33"/>
      <c r="H74" s="33"/>
    </row>
    <row r="75" spans="1:8" s="54" customFormat="1" ht="11.4" customHeight="1" x14ac:dyDescent="0.3">
      <c r="A75" s="33"/>
      <c r="B75" s="33"/>
      <c r="C75" s="33"/>
      <c r="D75" s="33"/>
      <c r="E75" s="33"/>
      <c r="F75" s="33"/>
      <c r="G75" s="33"/>
      <c r="H75" s="33"/>
    </row>
    <row r="76" spans="1:8" s="54" customFormat="1" ht="11.4" customHeight="1" x14ac:dyDescent="0.3">
      <c r="A76" s="33"/>
      <c r="B76" s="33"/>
      <c r="C76" s="33"/>
      <c r="D76" s="33"/>
      <c r="E76" s="33"/>
      <c r="F76" s="33"/>
      <c r="G76" s="33"/>
      <c r="H76" s="33"/>
    </row>
    <row r="77" spans="1:8" s="54" customFormat="1" ht="11.4" customHeight="1" x14ac:dyDescent="0.3">
      <c r="A77" s="33"/>
      <c r="B77" s="33"/>
      <c r="C77" s="33"/>
      <c r="D77" s="33"/>
      <c r="E77" s="33"/>
      <c r="F77" s="33"/>
      <c r="G77" s="33"/>
      <c r="H77" s="33"/>
    </row>
    <row r="78" spans="1:8" s="54" customFormat="1" ht="11.4" customHeight="1" x14ac:dyDescent="0.3">
      <c r="A78" s="33"/>
      <c r="B78" s="33"/>
      <c r="C78" s="33"/>
      <c r="D78" s="33"/>
      <c r="E78" s="33"/>
      <c r="F78" s="33"/>
      <c r="G78" s="33"/>
      <c r="H78" s="33"/>
    </row>
    <row r="79" spans="1:8" s="54" customFormat="1" ht="11.4" customHeight="1" x14ac:dyDescent="0.3">
      <c r="A79" s="33"/>
      <c r="B79" s="33"/>
      <c r="C79" s="33"/>
      <c r="D79" s="33"/>
      <c r="E79" s="33"/>
      <c r="F79" s="33"/>
      <c r="G79" s="33"/>
      <c r="H79" s="33"/>
    </row>
    <row r="80" spans="1:8" s="54" customFormat="1" ht="11.4" customHeight="1" x14ac:dyDescent="0.3">
      <c r="A80" s="33"/>
      <c r="B80" s="33"/>
      <c r="C80" s="33"/>
      <c r="D80" s="33"/>
      <c r="E80" s="33"/>
      <c r="F80" s="33"/>
      <c r="G80" s="33"/>
      <c r="H80" s="33"/>
    </row>
    <row r="81" spans="1:8" s="54" customFormat="1" ht="11.4" customHeight="1" x14ac:dyDescent="0.3">
      <c r="A81" s="33"/>
      <c r="B81" s="33"/>
      <c r="C81" s="33"/>
      <c r="D81" s="33"/>
      <c r="E81" s="33"/>
      <c r="F81" s="33"/>
      <c r="G81" s="33"/>
      <c r="H81" s="33"/>
    </row>
    <row r="82" spans="1:8" s="54" customFormat="1" ht="11.4" customHeight="1" x14ac:dyDescent="0.3">
      <c r="A82" s="33"/>
      <c r="B82" s="33"/>
      <c r="C82" s="33"/>
      <c r="D82" s="33"/>
      <c r="E82" s="33"/>
      <c r="F82" s="33"/>
      <c r="G82" s="33"/>
      <c r="H82" s="33"/>
    </row>
    <row r="83" spans="1:8" s="54" customFormat="1" ht="11.4" customHeight="1" x14ac:dyDescent="0.3">
      <c r="A83" s="33"/>
      <c r="B83" s="33"/>
      <c r="C83" s="33"/>
      <c r="D83" s="33"/>
      <c r="E83" s="33"/>
      <c r="F83" s="33"/>
      <c r="G83" s="33"/>
      <c r="H83" s="33"/>
    </row>
    <row r="84" spans="1:8" s="54" customFormat="1" ht="11.4" customHeight="1" x14ac:dyDescent="0.3">
      <c r="A84" s="33"/>
      <c r="B84" s="33"/>
      <c r="C84" s="33"/>
      <c r="D84" s="33"/>
      <c r="E84" s="33"/>
      <c r="F84" s="33"/>
      <c r="G84" s="33"/>
      <c r="H84" s="33"/>
    </row>
    <row r="85" spans="1:8" s="54" customFormat="1" ht="11.4" customHeight="1" x14ac:dyDescent="0.3">
      <c r="A85" s="33"/>
      <c r="B85" s="33"/>
      <c r="C85" s="33"/>
      <c r="D85" s="33"/>
      <c r="E85" s="33"/>
      <c r="F85" s="33"/>
      <c r="G85" s="33"/>
      <c r="H85" s="33"/>
    </row>
    <row r="86" spans="1:8" s="54" customFormat="1" ht="11.4" customHeight="1" x14ac:dyDescent="0.3">
      <c r="A86" s="33"/>
      <c r="B86" s="33"/>
      <c r="C86" s="33"/>
      <c r="D86" s="33"/>
      <c r="E86" s="33"/>
      <c r="F86" s="33"/>
      <c r="G86" s="33"/>
      <c r="H86" s="33"/>
    </row>
    <row r="87" spans="1:8" s="54" customFormat="1" ht="11.4" customHeight="1" x14ac:dyDescent="0.3">
      <c r="A87" s="33"/>
      <c r="B87" s="33"/>
      <c r="C87" s="33"/>
      <c r="D87" s="33"/>
      <c r="E87" s="33"/>
      <c r="F87" s="33"/>
      <c r="G87" s="33"/>
      <c r="H87" s="33"/>
    </row>
    <row r="88" spans="1:8" s="54" customFormat="1" ht="11.4" customHeight="1" x14ac:dyDescent="0.3">
      <c r="A88" s="33"/>
      <c r="B88" s="33"/>
      <c r="C88" s="33"/>
      <c r="D88" s="33"/>
      <c r="E88" s="33"/>
      <c r="F88" s="33"/>
      <c r="G88" s="33"/>
      <c r="H88" s="33"/>
    </row>
    <row r="89" spans="1:8" s="54" customFormat="1" ht="11.4" customHeight="1" x14ac:dyDescent="0.3">
      <c r="A89" s="33"/>
      <c r="B89" s="33"/>
      <c r="C89" s="33"/>
      <c r="D89" s="33"/>
      <c r="E89" s="33"/>
      <c r="F89" s="33"/>
      <c r="G89" s="33"/>
      <c r="H89" s="33"/>
    </row>
    <row r="90" spans="1:8" s="54" customFormat="1" ht="11.4" customHeight="1" x14ac:dyDescent="0.3">
      <c r="A90" s="33"/>
      <c r="B90" s="33"/>
      <c r="C90" s="33"/>
      <c r="D90" s="33"/>
      <c r="E90" s="33"/>
      <c r="F90" s="33"/>
      <c r="G90" s="33"/>
      <c r="H90" s="33"/>
    </row>
    <row r="91" spans="1:8" s="54" customFormat="1" ht="11.4" customHeight="1" x14ac:dyDescent="0.3">
      <c r="A91" s="33"/>
      <c r="B91" s="33"/>
      <c r="C91" s="33"/>
      <c r="D91" s="33"/>
      <c r="E91" s="33"/>
      <c r="F91" s="33"/>
      <c r="G91" s="33"/>
      <c r="H91" s="33"/>
    </row>
    <row r="92" spans="1:8" s="54" customFormat="1" ht="11.4" customHeight="1" x14ac:dyDescent="0.3">
      <c r="A92" s="33"/>
      <c r="B92" s="33"/>
      <c r="C92" s="33"/>
      <c r="D92" s="33"/>
      <c r="E92" s="33"/>
      <c r="F92" s="33"/>
      <c r="G92" s="33"/>
      <c r="H92" s="33"/>
    </row>
    <row r="93" spans="1:8" s="54" customFormat="1" ht="11.4" customHeight="1" x14ac:dyDescent="0.3">
      <c r="A93" s="33"/>
      <c r="B93" s="33"/>
      <c r="C93" s="33"/>
      <c r="D93" s="33"/>
      <c r="E93" s="33"/>
      <c r="F93" s="33"/>
      <c r="G93" s="33"/>
      <c r="H93" s="33"/>
    </row>
    <row r="94" spans="1:8" s="54" customFormat="1" ht="11.4" customHeight="1" x14ac:dyDescent="0.3">
      <c r="A94" s="33"/>
      <c r="B94" s="33"/>
      <c r="C94" s="33"/>
      <c r="D94" s="33"/>
      <c r="E94" s="33"/>
      <c r="F94" s="33"/>
      <c r="G94" s="33"/>
      <c r="H94" s="33"/>
    </row>
    <row r="95" spans="1:8" s="54" customFormat="1" ht="11.4" customHeight="1" x14ac:dyDescent="0.3">
      <c r="A95" s="33"/>
      <c r="B95" s="33"/>
      <c r="C95" s="33"/>
      <c r="D95" s="33"/>
      <c r="E95" s="33"/>
      <c r="F95" s="33"/>
      <c r="G95" s="33"/>
      <c r="H95" s="33"/>
    </row>
    <row r="96" spans="1:8" s="54" customFormat="1" ht="11.4" customHeight="1" x14ac:dyDescent="0.3">
      <c r="A96" s="33"/>
      <c r="B96" s="33"/>
      <c r="C96" s="33"/>
      <c r="D96" s="33"/>
      <c r="E96" s="33"/>
      <c r="F96" s="33"/>
      <c r="G96" s="33"/>
      <c r="H96" s="33"/>
    </row>
    <row r="97" spans="1:8" s="54" customFormat="1" ht="11.4" customHeight="1" x14ac:dyDescent="0.3">
      <c r="A97" s="33"/>
      <c r="B97" s="33"/>
      <c r="C97" s="33"/>
      <c r="D97" s="33"/>
      <c r="E97" s="33"/>
      <c r="F97" s="33"/>
      <c r="G97" s="33"/>
      <c r="H97" s="33"/>
    </row>
    <row r="98" spans="1:8" s="54" customFormat="1" ht="11.4" customHeight="1" x14ac:dyDescent="0.3">
      <c r="A98" s="33"/>
      <c r="B98" s="33"/>
      <c r="C98" s="33"/>
      <c r="D98" s="33"/>
      <c r="E98" s="33"/>
      <c r="F98" s="33"/>
      <c r="G98" s="33"/>
      <c r="H98" s="33"/>
    </row>
    <row r="99" spans="1:8" s="54" customFormat="1" ht="11.4" customHeight="1" x14ac:dyDescent="0.3">
      <c r="A99" s="33"/>
      <c r="B99" s="33"/>
      <c r="C99" s="33"/>
      <c r="D99" s="33"/>
      <c r="E99" s="33"/>
      <c r="F99" s="33"/>
      <c r="G99" s="33"/>
      <c r="H99" s="33"/>
    </row>
    <row r="100" spans="1:8" s="54" customFormat="1" ht="11.4" customHeight="1" x14ac:dyDescent="0.3">
      <c r="A100" s="33"/>
      <c r="B100" s="33"/>
      <c r="C100" s="33"/>
      <c r="D100" s="33"/>
      <c r="E100" s="33"/>
      <c r="F100" s="33"/>
      <c r="G100" s="33"/>
      <c r="H100" s="33"/>
    </row>
    <row r="101" spans="1:8" s="54" customFormat="1" ht="11.4" customHeight="1" x14ac:dyDescent="0.3">
      <c r="A101" s="33"/>
      <c r="B101" s="33"/>
      <c r="C101" s="33"/>
      <c r="D101" s="33"/>
      <c r="E101" s="33"/>
      <c r="F101" s="33"/>
      <c r="G101" s="33"/>
      <c r="H101" s="33"/>
    </row>
    <row r="102" spans="1:8" s="54" customFormat="1" ht="11.4" customHeight="1" x14ac:dyDescent="0.3">
      <c r="A102" s="33"/>
      <c r="B102" s="33"/>
      <c r="C102" s="33"/>
      <c r="D102" s="33"/>
      <c r="E102" s="33"/>
      <c r="F102" s="33"/>
      <c r="G102" s="33"/>
      <c r="H102" s="33"/>
    </row>
    <row r="103" spans="1:8" s="54" customFormat="1" ht="11.4" customHeight="1" x14ac:dyDescent="0.3">
      <c r="A103" s="33"/>
      <c r="B103" s="33"/>
      <c r="C103" s="33"/>
      <c r="D103" s="33"/>
      <c r="E103" s="33"/>
      <c r="F103" s="33"/>
      <c r="G103" s="33"/>
      <c r="H103" s="33"/>
    </row>
    <row r="104" spans="1:8" s="54" customFormat="1" ht="11.4" customHeight="1" x14ac:dyDescent="0.3">
      <c r="A104" s="33"/>
      <c r="B104" s="33"/>
      <c r="C104" s="33"/>
      <c r="D104" s="33"/>
      <c r="E104" s="33"/>
      <c r="F104" s="33"/>
      <c r="G104" s="33"/>
      <c r="H104" s="33"/>
    </row>
    <row r="105" spans="1:8" s="54" customFormat="1" ht="11.4" customHeight="1" x14ac:dyDescent="0.3">
      <c r="A105" s="33"/>
      <c r="B105" s="33"/>
      <c r="C105" s="33"/>
      <c r="D105" s="33"/>
      <c r="E105" s="33"/>
      <c r="F105" s="33"/>
      <c r="G105" s="33"/>
      <c r="H105" s="33"/>
    </row>
    <row r="106" spans="1:8" s="54" customFormat="1" ht="11.4" customHeight="1" x14ac:dyDescent="0.3">
      <c r="A106" s="33"/>
      <c r="B106" s="33"/>
      <c r="C106" s="33"/>
      <c r="D106" s="33"/>
      <c r="E106" s="33"/>
      <c r="F106" s="33"/>
      <c r="G106" s="33"/>
      <c r="H106" s="33"/>
    </row>
    <row r="107" spans="1:8" s="54" customFormat="1" ht="11.4" customHeight="1" x14ac:dyDescent="0.3">
      <c r="A107" s="33"/>
      <c r="B107" s="33"/>
      <c r="C107" s="33"/>
      <c r="D107" s="33"/>
      <c r="E107" s="33"/>
      <c r="F107" s="33"/>
      <c r="G107" s="33"/>
      <c r="H107" s="33"/>
    </row>
    <row r="108" spans="1:8" s="54" customFormat="1" ht="11.4" customHeight="1" x14ac:dyDescent="0.3">
      <c r="A108" s="33"/>
      <c r="B108" s="33"/>
      <c r="C108" s="33"/>
      <c r="D108" s="33"/>
      <c r="E108" s="33"/>
      <c r="F108" s="33"/>
      <c r="G108" s="33"/>
      <c r="H108" s="33"/>
    </row>
    <row r="109" spans="1:8" s="54" customFormat="1" ht="11.4" customHeight="1" x14ac:dyDescent="0.3">
      <c r="A109" s="33"/>
      <c r="B109" s="33"/>
      <c r="C109" s="33"/>
      <c r="D109" s="33"/>
      <c r="E109" s="33"/>
      <c r="F109" s="33"/>
      <c r="G109" s="33"/>
      <c r="H109" s="33"/>
    </row>
    <row r="110" spans="1:8" s="54" customFormat="1" ht="11.4" customHeight="1" x14ac:dyDescent="0.3">
      <c r="A110" s="33"/>
      <c r="B110" s="33"/>
      <c r="C110" s="33"/>
      <c r="D110" s="33"/>
      <c r="E110" s="33"/>
      <c r="F110" s="33"/>
      <c r="G110" s="33"/>
      <c r="H110" s="33"/>
    </row>
    <row r="111" spans="1:8" s="54" customFormat="1" ht="11.4" customHeight="1" x14ac:dyDescent="0.3">
      <c r="A111" s="33"/>
      <c r="B111" s="33"/>
      <c r="C111" s="33"/>
      <c r="D111" s="33"/>
      <c r="E111" s="33"/>
      <c r="F111" s="33"/>
      <c r="G111" s="33"/>
      <c r="H111" s="33"/>
    </row>
    <row r="112" spans="1:8" s="54" customFormat="1" ht="11.4" customHeight="1" x14ac:dyDescent="0.3">
      <c r="A112" s="33"/>
      <c r="B112" s="33"/>
      <c r="C112" s="33"/>
      <c r="D112" s="33"/>
      <c r="E112" s="33"/>
      <c r="F112" s="33"/>
      <c r="G112" s="33"/>
      <c r="H112" s="33"/>
    </row>
    <row r="113" spans="1:8" s="54" customFormat="1" ht="11.4" customHeight="1" x14ac:dyDescent="0.3">
      <c r="A113" s="33"/>
      <c r="B113" s="33"/>
      <c r="C113" s="33"/>
      <c r="D113" s="33"/>
      <c r="E113" s="33"/>
      <c r="F113" s="33"/>
      <c r="G113" s="33"/>
      <c r="H113" s="33"/>
    </row>
    <row r="114" spans="1:8" s="54" customFormat="1" ht="11.4" customHeight="1" x14ac:dyDescent="0.3">
      <c r="A114" s="33"/>
      <c r="B114" s="33"/>
      <c r="C114" s="33"/>
      <c r="D114" s="33"/>
      <c r="E114" s="33"/>
      <c r="F114" s="33"/>
      <c r="G114" s="33"/>
      <c r="H114" s="33"/>
    </row>
    <row r="115" spans="1:8" s="54" customFormat="1" ht="11.4" customHeight="1" x14ac:dyDescent="0.3">
      <c r="A115" s="33"/>
      <c r="B115" s="33"/>
      <c r="C115" s="33"/>
      <c r="D115" s="33"/>
      <c r="E115" s="33"/>
      <c r="F115" s="33"/>
      <c r="G115" s="33"/>
      <c r="H115" s="33"/>
    </row>
    <row r="116" spans="1:8" s="54" customFormat="1" ht="11.4" customHeight="1" x14ac:dyDescent="0.3">
      <c r="A116" s="33"/>
      <c r="B116" s="33"/>
      <c r="C116" s="33"/>
      <c r="D116" s="33"/>
      <c r="E116" s="33"/>
      <c r="F116" s="33"/>
      <c r="G116" s="33"/>
      <c r="H116" s="33"/>
    </row>
    <row r="117" spans="1:8" s="54" customFormat="1" ht="11.4" customHeight="1" x14ac:dyDescent="0.3">
      <c r="A117" s="33"/>
      <c r="B117" s="33"/>
      <c r="C117" s="33"/>
      <c r="D117" s="33"/>
      <c r="E117" s="33"/>
      <c r="F117" s="33"/>
      <c r="G117" s="33"/>
      <c r="H117" s="33"/>
    </row>
    <row r="118" spans="1:8" s="54" customFormat="1" ht="11.4" customHeight="1" x14ac:dyDescent="0.3">
      <c r="A118" s="33"/>
      <c r="B118" s="33"/>
      <c r="C118" s="33"/>
      <c r="D118" s="33"/>
      <c r="E118" s="33"/>
      <c r="F118" s="33"/>
      <c r="G118" s="33"/>
      <c r="H118" s="33"/>
    </row>
    <row r="119" spans="1:8" s="54" customFormat="1" ht="11.4" customHeight="1" x14ac:dyDescent="0.3">
      <c r="A119" s="33"/>
      <c r="B119" s="33"/>
      <c r="C119" s="33"/>
      <c r="D119" s="33"/>
      <c r="E119" s="33"/>
      <c r="F119" s="33"/>
      <c r="G119" s="33"/>
      <c r="H119" s="33"/>
    </row>
    <row r="120" spans="1:8" s="54" customFormat="1" ht="11.4" customHeight="1" x14ac:dyDescent="0.3">
      <c r="A120" s="33"/>
      <c r="B120" s="33"/>
      <c r="C120" s="33"/>
      <c r="D120" s="33"/>
      <c r="E120" s="33"/>
      <c r="F120" s="33"/>
      <c r="G120" s="33"/>
      <c r="H120" s="33"/>
    </row>
    <row r="121" spans="1:8" s="54" customFormat="1" ht="11.4" customHeight="1" x14ac:dyDescent="0.3">
      <c r="A121" s="33"/>
      <c r="B121" s="33"/>
      <c r="C121" s="33"/>
      <c r="D121" s="33"/>
      <c r="E121" s="33"/>
      <c r="F121" s="33"/>
      <c r="G121" s="33"/>
      <c r="H121" s="33"/>
    </row>
    <row r="122" spans="1:8" s="54" customFormat="1" ht="11.4" customHeight="1" x14ac:dyDescent="0.3">
      <c r="A122" s="33"/>
      <c r="B122" s="33"/>
      <c r="C122" s="33"/>
      <c r="D122" s="33"/>
      <c r="E122" s="33"/>
      <c r="F122" s="33"/>
      <c r="G122" s="33"/>
      <c r="H122" s="33"/>
    </row>
    <row r="123" spans="1:8" s="54" customFormat="1" ht="11.4" customHeight="1" x14ac:dyDescent="0.3">
      <c r="A123" s="33"/>
      <c r="B123" s="33"/>
      <c r="C123" s="33"/>
      <c r="D123" s="33"/>
      <c r="E123" s="33"/>
      <c r="F123" s="33"/>
      <c r="G123" s="33"/>
      <c r="H123" s="33"/>
    </row>
    <row r="124" spans="1:8" s="54" customFormat="1" ht="11.4" customHeight="1" x14ac:dyDescent="0.3">
      <c r="A124" s="33"/>
      <c r="B124" s="33"/>
      <c r="C124" s="33"/>
      <c r="D124" s="33"/>
      <c r="E124" s="33"/>
      <c r="F124" s="33"/>
      <c r="G124" s="33"/>
      <c r="H124" s="33"/>
    </row>
    <row r="125" spans="1:8" s="54" customFormat="1" ht="11.4" customHeight="1" x14ac:dyDescent="0.3">
      <c r="A125" s="33"/>
      <c r="B125" s="33"/>
      <c r="C125" s="33"/>
      <c r="D125" s="33"/>
      <c r="E125" s="33"/>
      <c r="F125" s="33"/>
      <c r="G125" s="33"/>
      <c r="H125" s="33"/>
    </row>
    <row r="126" spans="1:8" s="54" customFormat="1" ht="11.4" customHeight="1" x14ac:dyDescent="0.3">
      <c r="A126" s="33"/>
      <c r="B126" s="33"/>
      <c r="C126" s="33"/>
      <c r="D126" s="33"/>
      <c r="E126" s="33"/>
      <c r="F126" s="33"/>
      <c r="G126" s="33"/>
      <c r="H126" s="33"/>
    </row>
    <row r="127" spans="1:8" s="54" customFormat="1" ht="11.4" customHeight="1" x14ac:dyDescent="0.3">
      <c r="A127" s="33"/>
      <c r="B127" s="33"/>
      <c r="C127" s="33"/>
      <c r="D127" s="33"/>
      <c r="E127" s="33"/>
      <c r="F127" s="33"/>
      <c r="G127" s="33"/>
      <c r="H127" s="33"/>
    </row>
    <row r="128" spans="1:8" s="54" customFormat="1" ht="11.4" customHeight="1" x14ac:dyDescent="0.3">
      <c r="A128" s="33"/>
      <c r="B128" s="33"/>
      <c r="C128" s="33"/>
      <c r="D128" s="33"/>
      <c r="E128" s="33"/>
      <c r="F128" s="33"/>
      <c r="G128" s="33"/>
      <c r="H128" s="33"/>
    </row>
    <row r="129" spans="1:8" s="54" customFormat="1" ht="11.4" customHeight="1" x14ac:dyDescent="0.3">
      <c r="A129" s="33"/>
      <c r="B129" s="33"/>
      <c r="C129" s="33"/>
      <c r="D129" s="33"/>
      <c r="E129" s="33"/>
      <c r="F129" s="33"/>
      <c r="G129" s="33"/>
      <c r="H129" s="33"/>
    </row>
    <row r="130" spans="1:8" s="54" customFormat="1" ht="11.4" customHeight="1" x14ac:dyDescent="0.3">
      <c r="A130" s="33"/>
      <c r="B130" s="33"/>
      <c r="C130" s="33"/>
      <c r="D130" s="33"/>
      <c r="E130" s="33"/>
      <c r="F130" s="33"/>
      <c r="G130" s="33"/>
      <c r="H130" s="33"/>
    </row>
    <row r="131" spans="1:8" s="54" customFormat="1" ht="11.4" customHeight="1" x14ac:dyDescent="0.3">
      <c r="A131" s="33"/>
      <c r="B131" s="33"/>
      <c r="C131" s="33"/>
      <c r="D131" s="33"/>
      <c r="E131" s="33"/>
      <c r="F131" s="33"/>
      <c r="G131" s="33"/>
      <c r="H131" s="33"/>
    </row>
    <row r="132" spans="1:8" s="54" customFormat="1" ht="11.4" customHeight="1" x14ac:dyDescent="0.3">
      <c r="A132" s="33"/>
      <c r="B132" s="33"/>
      <c r="C132" s="33"/>
      <c r="D132" s="33"/>
      <c r="E132" s="33"/>
      <c r="F132" s="33"/>
      <c r="G132" s="33"/>
      <c r="H132" s="33"/>
    </row>
    <row r="133" spans="1:8" s="54" customFormat="1" ht="11.4" customHeight="1" x14ac:dyDescent="0.3">
      <c r="A133" s="33"/>
      <c r="B133" s="33"/>
      <c r="C133" s="33"/>
      <c r="D133" s="33"/>
      <c r="E133" s="33"/>
      <c r="F133" s="33"/>
      <c r="G133" s="33"/>
      <c r="H133" s="33"/>
    </row>
    <row r="134" spans="1:8" s="54" customFormat="1" ht="11.4" customHeight="1" x14ac:dyDescent="0.3">
      <c r="A134" s="33"/>
      <c r="B134" s="33"/>
      <c r="C134" s="33"/>
      <c r="D134" s="33"/>
      <c r="E134" s="33"/>
      <c r="F134" s="33"/>
      <c r="G134" s="33"/>
      <c r="H134" s="33"/>
    </row>
    <row r="135" spans="1:8" s="54" customFormat="1" ht="11.4" customHeight="1" x14ac:dyDescent="0.3">
      <c r="A135" s="33"/>
      <c r="B135" s="33"/>
      <c r="C135" s="33"/>
      <c r="D135" s="33"/>
      <c r="E135" s="33"/>
      <c r="F135" s="33"/>
      <c r="G135" s="33"/>
      <c r="H135" s="33"/>
    </row>
    <row r="136" spans="1:8" s="54" customFormat="1" ht="11.4" customHeight="1" x14ac:dyDescent="0.3">
      <c r="A136" s="33"/>
      <c r="B136" s="33"/>
      <c r="C136" s="33"/>
      <c r="D136" s="33"/>
      <c r="E136" s="33"/>
      <c r="F136" s="33"/>
      <c r="G136" s="33"/>
      <c r="H136" s="33"/>
    </row>
    <row r="137" spans="1:8" s="54" customFormat="1" ht="11.4" customHeight="1" x14ac:dyDescent="0.3">
      <c r="A137" s="33"/>
      <c r="B137" s="33"/>
      <c r="C137" s="33"/>
      <c r="D137" s="33"/>
      <c r="E137" s="33"/>
      <c r="F137" s="33"/>
      <c r="G137" s="33"/>
      <c r="H137" s="33"/>
    </row>
    <row r="138" spans="1:8" s="54" customFormat="1" ht="11.4" customHeight="1" x14ac:dyDescent="0.3">
      <c r="A138" s="33"/>
      <c r="B138" s="33"/>
      <c r="C138" s="33"/>
      <c r="D138" s="33"/>
      <c r="E138" s="33"/>
      <c r="F138" s="33"/>
      <c r="G138" s="33"/>
      <c r="H138" s="33"/>
    </row>
    <row r="139" spans="1:8" s="54" customFormat="1" ht="11.4" customHeight="1" x14ac:dyDescent="0.3">
      <c r="A139" s="33"/>
      <c r="B139" s="33"/>
      <c r="C139" s="33"/>
      <c r="D139" s="33"/>
      <c r="E139" s="33"/>
      <c r="F139" s="33"/>
      <c r="G139" s="33"/>
      <c r="H139" s="33"/>
    </row>
    <row r="140" spans="1:8" s="54" customFormat="1" ht="11.4" customHeight="1" x14ac:dyDescent="0.3">
      <c r="A140" s="33"/>
      <c r="B140" s="33"/>
      <c r="C140" s="33"/>
      <c r="D140" s="33"/>
      <c r="E140" s="33"/>
      <c r="F140" s="33"/>
      <c r="G140" s="33"/>
      <c r="H140" s="33"/>
    </row>
    <row r="141" spans="1:8" s="54" customFormat="1" ht="11.4" customHeight="1" x14ac:dyDescent="0.3">
      <c r="A141" s="33"/>
      <c r="B141" s="33"/>
      <c r="C141" s="33"/>
      <c r="D141" s="33"/>
      <c r="E141" s="33"/>
      <c r="F141" s="33"/>
      <c r="G141" s="33"/>
      <c r="H141" s="33"/>
    </row>
    <row r="142" spans="1:8" s="54" customFormat="1" ht="11.4" customHeight="1" x14ac:dyDescent="0.3">
      <c r="A142" s="33"/>
      <c r="B142" s="33"/>
      <c r="C142" s="33"/>
      <c r="D142" s="33"/>
      <c r="E142" s="33"/>
      <c r="F142" s="33"/>
      <c r="G142" s="33"/>
      <c r="H142" s="33"/>
    </row>
    <row r="143" spans="1:8" s="54" customFormat="1" ht="11.4" customHeight="1" x14ac:dyDescent="0.3">
      <c r="A143" s="33"/>
      <c r="B143" s="33"/>
      <c r="C143" s="33"/>
      <c r="D143" s="33"/>
      <c r="E143" s="33"/>
      <c r="F143" s="33"/>
      <c r="G143" s="33"/>
      <c r="H143" s="33"/>
    </row>
    <row r="144" spans="1:8" s="54" customFormat="1" ht="11.4" customHeight="1" x14ac:dyDescent="0.3">
      <c r="A144" s="33"/>
      <c r="B144" s="33"/>
      <c r="C144" s="33"/>
      <c r="D144" s="33"/>
      <c r="E144" s="33"/>
      <c r="F144" s="33"/>
      <c r="G144" s="33"/>
      <c r="H144" s="33"/>
    </row>
    <row r="145" spans="1:8" s="54" customFormat="1" ht="11.4" customHeight="1" x14ac:dyDescent="0.3">
      <c r="A145" s="33"/>
      <c r="B145" s="33"/>
      <c r="C145" s="33"/>
      <c r="D145" s="33"/>
      <c r="E145" s="33"/>
      <c r="F145" s="33"/>
      <c r="G145" s="33"/>
      <c r="H145" s="33"/>
    </row>
    <row r="146" spans="1:8" s="54" customFormat="1" ht="11.4" customHeight="1" x14ac:dyDescent="0.3">
      <c r="A146" s="33"/>
      <c r="B146" s="33"/>
      <c r="C146" s="33"/>
      <c r="D146" s="33"/>
      <c r="E146" s="33"/>
      <c r="F146" s="33"/>
      <c r="G146" s="33"/>
      <c r="H146" s="33"/>
    </row>
    <row r="147" spans="1:8" s="54" customFormat="1" ht="11.4" customHeight="1" x14ac:dyDescent="0.3">
      <c r="A147" s="33"/>
      <c r="B147" s="33"/>
      <c r="C147" s="33"/>
      <c r="D147" s="33"/>
      <c r="E147" s="33"/>
      <c r="F147" s="33"/>
      <c r="G147" s="33"/>
      <c r="H147" s="33"/>
    </row>
    <row r="148" spans="1:8" s="54" customFormat="1" ht="11.4" customHeight="1" x14ac:dyDescent="0.3">
      <c r="A148" s="33"/>
      <c r="B148" s="33"/>
      <c r="C148" s="33"/>
      <c r="D148" s="33"/>
      <c r="E148" s="33"/>
      <c r="F148" s="33"/>
      <c r="G148" s="33"/>
      <c r="H148" s="33"/>
    </row>
    <row r="149" spans="1:8" s="54" customFormat="1" ht="11.4" customHeight="1" x14ac:dyDescent="0.3">
      <c r="A149" s="33"/>
      <c r="B149" s="33"/>
      <c r="C149" s="33"/>
      <c r="D149" s="33"/>
      <c r="E149" s="33"/>
      <c r="F149" s="33"/>
      <c r="G149" s="33"/>
      <c r="H149" s="33"/>
    </row>
    <row r="150" spans="1:8" s="54" customFormat="1" ht="11.4" customHeight="1" x14ac:dyDescent="0.3">
      <c r="A150" s="33"/>
      <c r="B150" s="33"/>
      <c r="C150" s="33"/>
      <c r="D150" s="33"/>
      <c r="E150" s="33"/>
      <c r="F150" s="33"/>
      <c r="G150" s="33"/>
      <c r="H150" s="33"/>
    </row>
    <row r="151" spans="1:8" s="54" customFormat="1" ht="11.4" customHeight="1" x14ac:dyDescent="0.3">
      <c r="A151" s="33"/>
      <c r="B151" s="33"/>
      <c r="C151" s="33"/>
      <c r="D151" s="33"/>
      <c r="E151" s="33"/>
      <c r="F151" s="33"/>
      <c r="G151" s="33"/>
      <c r="H151" s="33"/>
    </row>
    <row r="152" spans="1:8" s="54" customFormat="1" ht="11.4" customHeight="1" x14ac:dyDescent="0.3">
      <c r="A152" s="33"/>
      <c r="B152" s="33"/>
      <c r="C152" s="33"/>
      <c r="D152" s="33"/>
      <c r="E152" s="33"/>
      <c r="F152" s="33"/>
      <c r="G152" s="33"/>
      <c r="H152" s="33"/>
    </row>
    <row r="153" spans="1:8" s="54" customFormat="1" ht="11.4" customHeight="1" x14ac:dyDescent="0.3">
      <c r="A153" s="33"/>
      <c r="B153" s="33"/>
      <c r="C153" s="33"/>
      <c r="D153" s="33"/>
      <c r="E153" s="33"/>
      <c r="F153" s="33"/>
      <c r="G153" s="33"/>
      <c r="H153" s="33"/>
    </row>
    <row r="154" spans="1:8" s="54" customFormat="1" ht="11.4" customHeight="1" x14ac:dyDescent="0.3">
      <c r="A154" s="33"/>
      <c r="B154" s="33"/>
      <c r="C154" s="33"/>
      <c r="D154" s="33"/>
      <c r="E154" s="33"/>
      <c r="F154" s="33"/>
      <c r="G154" s="33"/>
      <c r="H154" s="33"/>
    </row>
    <row r="155" spans="1:8" s="54" customFormat="1" ht="11.4" customHeight="1" x14ac:dyDescent="0.3">
      <c r="A155" s="33"/>
      <c r="B155" s="33"/>
      <c r="C155" s="33"/>
      <c r="D155" s="33"/>
      <c r="E155" s="33"/>
      <c r="F155" s="33"/>
      <c r="G155" s="33"/>
      <c r="H155" s="33"/>
    </row>
    <row r="156" spans="1:8" s="54" customFormat="1" ht="11.4" customHeight="1" x14ac:dyDescent="0.3">
      <c r="A156" s="33"/>
      <c r="B156" s="33"/>
      <c r="C156" s="33"/>
      <c r="D156" s="33"/>
      <c r="E156" s="33"/>
      <c r="F156" s="33"/>
      <c r="G156" s="33"/>
      <c r="H156" s="33"/>
    </row>
    <row r="157" spans="1:8" s="54" customFormat="1" ht="11.4" customHeight="1" x14ac:dyDescent="0.3">
      <c r="A157" s="33"/>
      <c r="B157" s="33"/>
      <c r="C157" s="33"/>
      <c r="D157" s="33"/>
      <c r="E157" s="33"/>
      <c r="F157" s="33"/>
      <c r="G157" s="33"/>
      <c r="H157" s="33"/>
    </row>
    <row r="158" spans="1:8" s="54" customFormat="1" ht="11.4" customHeight="1" x14ac:dyDescent="0.3">
      <c r="A158" s="33"/>
      <c r="B158" s="33"/>
      <c r="C158" s="33"/>
      <c r="D158" s="33"/>
      <c r="E158" s="33"/>
      <c r="F158" s="33"/>
      <c r="G158" s="33"/>
      <c r="H158" s="33"/>
    </row>
    <row r="159" spans="1:8" s="54" customFormat="1" ht="11.4" customHeight="1" x14ac:dyDescent="0.3">
      <c r="A159" s="33"/>
      <c r="B159" s="33"/>
      <c r="C159" s="33"/>
      <c r="D159" s="33"/>
      <c r="E159" s="33"/>
      <c r="F159" s="33"/>
      <c r="G159" s="33"/>
      <c r="H159" s="33"/>
    </row>
    <row r="160" spans="1:8" s="54" customFormat="1" ht="11.4" customHeight="1" x14ac:dyDescent="0.3">
      <c r="A160" s="33"/>
      <c r="B160" s="33"/>
      <c r="C160" s="33"/>
      <c r="D160" s="33"/>
      <c r="E160" s="33"/>
      <c r="F160" s="33"/>
      <c r="G160" s="33"/>
      <c r="H160" s="33"/>
    </row>
    <row r="161" spans="1:8" s="54" customFormat="1" ht="11.4" customHeight="1" x14ac:dyDescent="0.3">
      <c r="A161" s="33"/>
      <c r="B161" s="33"/>
      <c r="C161" s="33"/>
      <c r="D161" s="33"/>
      <c r="E161" s="33"/>
      <c r="F161" s="33"/>
      <c r="G161" s="33"/>
      <c r="H161" s="33"/>
    </row>
    <row r="162" spans="1:8" s="54" customFormat="1" ht="11.4" customHeight="1" x14ac:dyDescent="0.3">
      <c r="A162" s="33"/>
      <c r="B162" s="33"/>
      <c r="C162" s="33"/>
      <c r="D162" s="33"/>
      <c r="E162" s="33"/>
      <c r="F162" s="33"/>
      <c r="G162" s="33"/>
      <c r="H162" s="33"/>
    </row>
    <row r="163" spans="1:8" s="54" customFormat="1" ht="11.4" customHeight="1" x14ac:dyDescent="0.3">
      <c r="A163" s="33"/>
      <c r="B163" s="33"/>
      <c r="C163" s="33"/>
      <c r="D163" s="33"/>
      <c r="E163" s="33"/>
      <c r="F163" s="33"/>
      <c r="G163" s="33"/>
      <c r="H163" s="33"/>
    </row>
    <row r="164" spans="1:8" s="54" customFormat="1" ht="11.4" customHeight="1" x14ac:dyDescent="0.3">
      <c r="A164" s="33"/>
      <c r="B164" s="33"/>
      <c r="C164" s="33"/>
      <c r="D164" s="33"/>
      <c r="E164" s="33"/>
      <c r="F164" s="33"/>
      <c r="G164" s="33"/>
      <c r="H164" s="33"/>
    </row>
    <row r="165" spans="1:8" s="54" customFormat="1" ht="11.4" customHeight="1" x14ac:dyDescent="0.3">
      <c r="A165" s="33"/>
      <c r="B165" s="33"/>
      <c r="C165" s="33"/>
      <c r="D165" s="33"/>
      <c r="E165" s="33"/>
      <c r="F165" s="33"/>
      <c r="G165" s="33"/>
      <c r="H165" s="33"/>
    </row>
    <row r="166" spans="1:8" s="54" customFormat="1" ht="11.4" customHeight="1" x14ac:dyDescent="0.3">
      <c r="A166" s="33"/>
      <c r="B166" s="33"/>
      <c r="C166" s="33"/>
      <c r="D166" s="33"/>
      <c r="E166" s="33"/>
      <c r="F166" s="33"/>
      <c r="G166" s="33"/>
      <c r="H166" s="33"/>
    </row>
    <row r="167" spans="1:8" s="54" customFormat="1" ht="11.4" customHeight="1" x14ac:dyDescent="0.3">
      <c r="A167" s="33"/>
      <c r="B167" s="33"/>
      <c r="C167" s="33"/>
      <c r="D167" s="33"/>
      <c r="E167" s="33"/>
      <c r="F167" s="33"/>
      <c r="G167" s="33"/>
      <c r="H167" s="33"/>
    </row>
    <row r="168" spans="1:8" s="54" customFormat="1" ht="11.4" customHeight="1" x14ac:dyDescent="0.3">
      <c r="A168" s="33"/>
      <c r="B168" s="33"/>
      <c r="C168" s="33"/>
      <c r="D168" s="33"/>
      <c r="E168" s="33"/>
      <c r="F168" s="33"/>
      <c r="G168" s="33"/>
      <c r="H168" s="33"/>
    </row>
    <row r="169" spans="1:8" s="54" customFormat="1" ht="11.4" customHeight="1" x14ac:dyDescent="0.3">
      <c r="A169" s="33"/>
      <c r="B169" s="33"/>
      <c r="C169" s="33"/>
      <c r="D169" s="33"/>
      <c r="E169" s="33"/>
      <c r="F169" s="33"/>
      <c r="G169" s="33"/>
      <c r="H169" s="33"/>
    </row>
    <row r="170" spans="1:8" s="54" customFormat="1" ht="11.4" customHeight="1" x14ac:dyDescent="0.3">
      <c r="A170" s="33"/>
      <c r="B170" s="33"/>
      <c r="C170" s="33"/>
      <c r="D170" s="33"/>
      <c r="E170" s="33"/>
      <c r="F170" s="33"/>
      <c r="G170" s="33"/>
      <c r="H170" s="33"/>
    </row>
    <row r="171" spans="1:8" s="54" customFormat="1" ht="11.4" customHeight="1" x14ac:dyDescent="0.3">
      <c r="A171" s="33"/>
      <c r="B171" s="33"/>
      <c r="C171" s="33"/>
      <c r="D171" s="33"/>
      <c r="E171" s="33"/>
      <c r="F171" s="33"/>
      <c r="G171" s="33"/>
      <c r="H171" s="33"/>
    </row>
    <row r="172" spans="1:8" s="54" customFormat="1" ht="11.4" customHeight="1" x14ac:dyDescent="0.3">
      <c r="A172" s="33"/>
      <c r="B172" s="33"/>
      <c r="C172" s="33"/>
      <c r="D172" s="33"/>
      <c r="E172" s="33"/>
      <c r="F172" s="33"/>
      <c r="G172" s="33"/>
      <c r="H172" s="33"/>
    </row>
    <row r="173" spans="1:8" s="54" customFormat="1" ht="11.4" customHeight="1" x14ac:dyDescent="0.3">
      <c r="A173" s="33"/>
      <c r="B173" s="33"/>
      <c r="C173" s="33"/>
      <c r="D173" s="33"/>
      <c r="E173" s="33"/>
      <c r="F173" s="33"/>
      <c r="G173" s="33"/>
      <c r="H173" s="33"/>
    </row>
    <row r="174" spans="1:8" s="54" customFormat="1" ht="11.4" customHeight="1" x14ac:dyDescent="0.3">
      <c r="A174" s="33"/>
      <c r="B174" s="33"/>
      <c r="C174" s="33"/>
      <c r="D174" s="33"/>
      <c r="E174" s="33"/>
      <c r="F174" s="33"/>
      <c r="G174" s="33"/>
      <c r="H174" s="33"/>
    </row>
    <row r="175" spans="1:8" s="54" customFormat="1" ht="11.4" customHeight="1" x14ac:dyDescent="0.3">
      <c r="A175" s="33"/>
      <c r="B175" s="33"/>
      <c r="C175" s="33"/>
      <c r="D175" s="33"/>
      <c r="E175" s="33"/>
      <c r="F175" s="33"/>
      <c r="G175" s="33"/>
      <c r="H175" s="33"/>
    </row>
    <row r="176" spans="1:8" s="54" customFormat="1" ht="11.4" customHeight="1" x14ac:dyDescent="0.3">
      <c r="A176" s="33"/>
      <c r="B176" s="33"/>
      <c r="C176" s="33"/>
      <c r="D176" s="33"/>
      <c r="E176" s="33"/>
      <c r="F176" s="33"/>
      <c r="G176" s="33"/>
      <c r="H176" s="33"/>
    </row>
    <row r="177" spans="1:8" s="54" customFormat="1" ht="11.4" customHeight="1" x14ac:dyDescent="0.3">
      <c r="A177" s="33"/>
      <c r="B177" s="33"/>
      <c r="C177" s="33"/>
      <c r="D177" s="33"/>
      <c r="E177" s="33"/>
      <c r="F177" s="33"/>
      <c r="G177" s="33"/>
      <c r="H177" s="33"/>
    </row>
    <row r="178" spans="1:8" s="54" customFormat="1" ht="11.4" customHeight="1" x14ac:dyDescent="0.3">
      <c r="A178" s="33"/>
      <c r="B178" s="33"/>
      <c r="C178" s="33"/>
      <c r="D178" s="33"/>
      <c r="E178" s="33"/>
      <c r="F178" s="33"/>
      <c r="G178" s="33"/>
      <c r="H178" s="33"/>
    </row>
    <row r="179" spans="1:8" s="54" customFormat="1" ht="11.4" customHeight="1" x14ac:dyDescent="0.3">
      <c r="A179" s="33"/>
      <c r="B179" s="33"/>
      <c r="C179" s="33"/>
      <c r="D179" s="33"/>
      <c r="E179" s="33"/>
      <c r="F179" s="33"/>
      <c r="G179" s="33"/>
      <c r="H179" s="33"/>
    </row>
    <row r="180" spans="1:8" s="54" customFormat="1" ht="11.4" customHeight="1" x14ac:dyDescent="0.3">
      <c r="A180" s="33"/>
      <c r="B180" s="33"/>
      <c r="C180" s="33"/>
      <c r="D180" s="33"/>
      <c r="E180" s="33"/>
      <c r="F180" s="33"/>
      <c r="G180" s="33"/>
      <c r="H180" s="33"/>
    </row>
    <row r="181" spans="1:8" s="54" customFormat="1" ht="11.4" customHeight="1" x14ac:dyDescent="0.3">
      <c r="A181" s="33"/>
      <c r="B181" s="33"/>
      <c r="C181" s="33"/>
      <c r="D181" s="33"/>
      <c r="E181" s="33"/>
      <c r="F181" s="33"/>
      <c r="G181" s="33"/>
      <c r="H181" s="33"/>
    </row>
    <row r="182" spans="1:8" s="54" customFormat="1" ht="11.4" customHeight="1" x14ac:dyDescent="0.3">
      <c r="A182" s="33"/>
      <c r="B182" s="33"/>
      <c r="C182" s="33"/>
      <c r="D182" s="33"/>
      <c r="E182" s="33"/>
      <c r="F182" s="33"/>
      <c r="G182" s="33"/>
      <c r="H182" s="33"/>
    </row>
    <row r="183" spans="1:8" s="54" customFormat="1" ht="11.4" customHeight="1" x14ac:dyDescent="0.3">
      <c r="A183" s="33"/>
      <c r="B183" s="33"/>
      <c r="C183" s="33"/>
      <c r="D183" s="33"/>
      <c r="E183" s="33"/>
      <c r="F183" s="33"/>
      <c r="G183" s="33"/>
      <c r="H183" s="33"/>
    </row>
    <row r="184" spans="1:8" s="54" customFormat="1" ht="11.4" customHeight="1" x14ac:dyDescent="0.3">
      <c r="A184" s="33"/>
      <c r="B184" s="33"/>
      <c r="C184" s="33"/>
      <c r="D184" s="33"/>
      <c r="E184" s="33"/>
      <c r="F184" s="33"/>
      <c r="G184" s="33"/>
      <c r="H184" s="33"/>
    </row>
    <row r="185" spans="1:8" s="54" customFormat="1" ht="11.4" customHeight="1" x14ac:dyDescent="0.3">
      <c r="A185" s="33"/>
      <c r="B185" s="33"/>
      <c r="C185" s="33"/>
      <c r="D185" s="33"/>
      <c r="E185" s="33"/>
      <c r="F185" s="33"/>
      <c r="G185" s="33"/>
      <c r="H185" s="33"/>
    </row>
    <row r="186" spans="1:8" s="54" customFormat="1" ht="11.4" customHeight="1" x14ac:dyDescent="0.3">
      <c r="A186" s="33"/>
      <c r="B186" s="33"/>
      <c r="C186" s="33"/>
      <c r="D186" s="33"/>
      <c r="E186" s="33"/>
      <c r="F186" s="33"/>
      <c r="G186" s="33"/>
      <c r="H186" s="33"/>
    </row>
    <row r="187" spans="1:8" s="54" customFormat="1" ht="11.4" customHeight="1" x14ac:dyDescent="0.3">
      <c r="A187" s="33"/>
      <c r="B187" s="33"/>
      <c r="C187" s="33"/>
      <c r="D187" s="33"/>
      <c r="E187" s="33"/>
      <c r="F187" s="33"/>
      <c r="G187" s="33"/>
      <c r="H187" s="33"/>
    </row>
    <row r="188" spans="1:8" s="54" customFormat="1" ht="11.4" customHeight="1" x14ac:dyDescent="0.3">
      <c r="A188" s="33"/>
      <c r="B188" s="33"/>
      <c r="C188" s="33"/>
      <c r="D188" s="33"/>
      <c r="E188" s="33"/>
      <c r="F188" s="33"/>
      <c r="G188" s="33"/>
      <c r="H188" s="33"/>
    </row>
    <row r="189" spans="1:8" s="54" customFormat="1" ht="11.4" customHeight="1" x14ac:dyDescent="0.3">
      <c r="A189" s="33"/>
      <c r="B189" s="33"/>
      <c r="C189" s="33"/>
      <c r="D189" s="33"/>
      <c r="E189" s="33"/>
      <c r="F189" s="33"/>
      <c r="G189" s="33"/>
      <c r="H189" s="33"/>
    </row>
    <row r="190" spans="1:8" s="54" customFormat="1" ht="11.4" customHeight="1" x14ac:dyDescent="0.3">
      <c r="A190" s="33"/>
      <c r="B190" s="33"/>
      <c r="C190" s="33"/>
      <c r="D190" s="33"/>
      <c r="E190" s="33"/>
      <c r="F190" s="33"/>
      <c r="G190" s="33"/>
      <c r="H190" s="33"/>
    </row>
    <row r="191" spans="1:8" s="54" customFormat="1" ht="11.4" customHeight="1" x14ac:dyDescent="0.3">
      <c r="A191" s="33"/>
      <c r="B191" s="33"/>
      <c r="C191" s="33"/>
      <c r="D191" s="33"/>
      <c r="E191" s="33"/>
      <c r="F191" s="33"/>
      <c r="G191" s="33"/>
      <c r="H191" s="33"/>
    </row>
    <row r="192" spans="1:8" s="54" customFormat="1" ht="11.4" customHeight="1" x14ac:dyDescent="0.3">
      <c r="A192" s="33"/>
      <c r="B192" s="33"/>
      <c r="C192" s="33"/>
      <c r="D192" s="33"/>
      <c r="E192" s="33"/>
      <c r="F192" s="33"/>
      <c r="G192" s="33"/>
      <c r="H192" s="33"/>
    </row>
    <row r="193" spans="1:8" s="54" customFormat="1" ht="11.4" customHeight="1" x14ac:dyDescent="0.3">
      <c r="A193" s="33"/>
      <c r="B193" s="33"/>
      <c r="C193" s="33"/>
      <c r="D193" s="33"/>
      <c r="E193" s="33"/>
      <c r="F193" s="33"/>
      <c r="G193" s="33"/>
      <c r="H193" s="33"/>
    </row>
    <row r="194" spans="1:8" s="54" customFormat="1" ht="11.4" customHeight="1" x14ac:dyDescent="0.3">
      <c r="A194" s="33"/>
      <c r="B194" s="33"/>
      <c r="C194" s="33"/>
      <c r="D194" s="33"/>
      <c r="E194" s="33"/>
      <c r="F194" s="33"/>
      <c r="G194" s="33"/>
      <c r="H194" s="33"/>
    </row>
    <row r="195" spans="1:8" s="54" customFormat="1" ht="11.4" customHeight="1" x14ac:dyDescent="0.3">
      <c r="A195" s="33"/>
      <c r="B195" s="33"/>
      <c r="C195" s="33"/>
      <c r="D195" s="33"/>
      <c r="E195" s="33"/>
      <c r="F195" s="33"/>
      <c r="G195" s="33"/>
      <c r="H195" s="33"/>
    </row>
    <row r="196" spans="1:8" s="54" customFormat="1" ht="11.4" customHeight="1" x14ac:dyDescent="0.3">
      <c r="A196" s="33"/>
      <c r="B196" s="33"/>
      <c r="C196" s="33"/>
      <c r="D196" s="33"/>
      <c r="E196" s="33"/>
      <c r="F196" s="33"/>
      <c r="G196" s="33"/>
      <c r="H196" s="33"/>
    </row>
    <row r="197" spans="1:8" s="54" customFormat="1" ht="11.4" customHeight="1" x14ac:dyDescent="0.3">
      <c r="A197" s="33"/>
      <c r="B197" s="33"/>
      <c r="C197" s="33"/>
      <c r="D197" s="33"/>
      <c r="E197" s="33"/>
      <c r="F197" s="33"/>
      <c r="G197" s="33"/>
      <c r="H197" s="33"/>
    </row>
    <row r="198" spans="1:8" s="54" customFormat="1" ht="11.4" customHeight="1" x14ac:dyDescent="0.3">
      <c r="A198" s="33"/>
      <c r="B198" s="33"/>
      <c r="C198" s="33"/>
      <c r="D198" s="33"/>
      <c r="E198" s="33"/>
      <c r="F198" s="33"/>
      <c r="G198" s="33"/>
      <c r="H198" s="33"/>
    </row>
    <row r="199" spans="1:8" s="54" customFormat="1" ht="11.4" customHeight="1" x14ac:dyDescent="0.3">
      <c r="A199" s="33"/>
      <c r="B199" s="33"/>
      <c r="C199" s="33"/>
      <c r="D199" s="33"/>
      <c r="E199" s="33"/>
      <c r="F199" s="33"/>
      <c r="G199" s="33"/>
      <c r="H199" s="33"/>
    </row>
    <row r="200" spans="1:8" s="54" customFormat="1" ht="11.4" customHeight="1" x14ac:dyDescent="0.3">
      <c r="A200" s="33"/>
      <c r="B200" s="33"/>
      <c r="C200" s="33"/>
      <c r="D200" s="33"/>
      <c r="E200" s="33"/>
      <c r="F200" s="33"/>
      <c r="G200" s="33"/>
      <c r="H200" s="33"/>
    </row>
    <row r="201" spans="1:8" s="54" customFormat="1" ht="11.4" customHeight="1" x14ac:dyDescent="0.3">
      <c r="A201" s="33"/>
      <c r="B201" s="33"/>
      <c r="C201" s="33"/>
      <c r="D201" s="33"/>
      <c r="E201" s="33"/>
      <c r="F201" s="33"/>
      <c r="G201" s="33"/>
      <c r="H201" s="33"/>
    </row>
    <row r="202" spans="1:8" s="54" customFormat="1" ht="11.4" customHeight="1" x14ac:dyDescent="0.3">
      <c r="A202" s="33"/>
      <c r="B202" s="33"/>
      <c r="C202" s="33"/>
      <c r="D202" s="33"/>
      <c r="E202" s="33"/>
      <c r="F202" s="33"/>
      <c r="G202" s="33"/>
      <c r="H202" s="33"/>
    </row>
    <row r="203" spans="1:8" s="54" customFormat="1" ht="11.4" customHeight="1" x14ac:dyDescent="0.3">
      <c r="A203" s="33"/>
      <c r="B203" s="33"/>
      <c r="C203" s="33"/>
      <c r="D203" s="33"/>
      <c r="E203" s="33"/>
      <c r="F203" s="33"/>
      <c r="G203" s="33"/>
      <c r="H203" s="33"/>
    </row>
    <row r="204" spans="1:8" s="54" customFormat="1" ht="11.4" customHeight="1" x14ac:dyDescent="0.3">
      <c r="A204" s="33"/>
      <c r="B204" s="33"/>
      <c r="C204" s="33"/>
      <c r="D204" s="33"/>
      <c r="E204" s="33"/>
      <c r="F204" s="33"/>
      <c r="G204" s="33"/>
      <c r="H204" s="33"/>
    </row>
    <row r="205" spans="1:8" s="54" customFormat="1" ht="11.4" customHeight="1" x14ac:dyDescent="0.3">
      <c r="A205" s="33"/>
      <c r="B205" s="33"/>
      <c r="C205" s="33"/>
      <c r="D205" s="33"/>
      <c r="E205" s="33"/>
      <c r="F205" s="33"/>
      <c r="G205" s="33"/>
      <c r="H205" s="33"/>
    </row>
    <row r="206" spans="1:8" s="54" customFormat="1" ht="11.4" customHeight="1" x14ac:dyDescent="0.3">
      <c r="A206" s="33"/>
      <c r="B206" s="33"/>
      <c r="C206" s="33"/>
      <c r="D206" s="33"/>
      <c r="E206" s="33"/>
      <c r="F206" s="33"/>
      <c r="G206" s="33"/>
      <c r="H206" s="33"/>
    </row>
    <row r="207" spans="1:8" s="54" customFormat="1" ht="11.4" customHeight="1" x14ac:dyDescent="0.3">
      <c r="A207" s="33"/>
      <c r="B207" s="33"/>
      <c r="C207" s="33"/>
      <c r="D207" s="33"/>
      <c r="E207" s="33"/>
      <c r="F207" s="33"/>
      <c r="G207" s="33"/>
      <c r="H207" s="33"/>
    </row>
    <row r="208" spans="1:8" s="54" customFormat="1" ht="11.4" customHeight="1" x14ac:dyDescent="0.3">
      <c r="A208" s="33"/>
      <c r="B208" s="33"/>
      <c r="C208" s="33"/>
      <c r="D208" s="33"/>
      <c r="E208" s="33"/>
      <c r="F208" s="33"/>
      <c r="G208" s="33"/>
      <c r="H208" s="33"/>
    </row>
    <row r="209" spans="1:8" s="54" customFormat="1" ht="11.4" customHeight="1" x14ac:dyDescent="0.3">
      <c r="A209" s="33"/>
      <c r="B209" s="33"/>
      <c r="C209" s="33"/>
      <c r="D209" s="33"/>
      <c r="E209" s="33"/>
      <c r="F209" s="33"/>
      <c r="G209" s="33"/>
      <c r="H209" s="33"/>
    </row>
    <row r="210" spans="1:8" s="54" customFormat="1" ht="11.4" customHeight="1" x14ac:dyDescent="0.3">
      <c r="A210" s="33"/>
      <c r="B210" s="33"/>
      <c r="C210" s="33"/>
      <c r="D210" s="33"/>
      <c r="E210" s="33"/>
      <c r="F210" s="33"/>
      <c r="G210" s="33"/>
      <c r="H210" s="33"/>
    </row>
    <row r="211" spans="1:8" s="54" customFormat="1" ht="11.4" customHeight="1" x14ac:dyDescent="0.3">
      <c r="A211" s="33"/>
      <c r="B211" s="33"/>
      <c r="C211" s="33"/>
      <c r="D211" s="33"/>
      <c r="E211" s="33"/>
      <c r="F211" s="33"/>
      <c r="G211" s="33"/>
      <c r="H211" s="33"/>
    </row>
    <row r="212" spans="1:8" s="54" customFormat="1" ht="11.4" customHeight="1" x14ac:dyDescent="0.3">
      <c r="A212" s="33"/>
      <c r="B212" s="33"/>
      <c r="C212" s="33"/>
      <c r="D212" s="33"/>
      <c r="E212" s="33"/>
      <c r="F212" s="33"/>
      <c r="G212" s="33"/>
      <c r="H212" s="33"/>
    </row>
    <row r="213" spans="1:8" s="54" customFormat="1" ht="11.4" customHeight="1" x14ac:dyDescent="0.3">
      <c r="A213" s="33"/>
      <c r="B213" s="33"/>
      <c r="C213" s="33"/>
      <c r="D213" s="33"/>
      <c r="E213" s="33"/>
      <c r="F213" s="33"/>
      <c r="G213" s="33"/>
      <c r="H213" s="33"/>
    </row>
    <row r="214" spans="1:8" s="54" customFormat="1" ht="11.4" customHeight="1" x14ac:dyDescent="0.3">
      <c r="A214" s="33"/>
      <c r="B214" s="33"/>
      <c r="C214" s="33"/>
      <c r="D214" s="33"/>
      <c r="E214" s="33"/>
      <c r="F214" s="33"/>
      <c r="G214" s="33"/>
      <c r="H214" s="33"/>
    </row>
    <row r="215" spans="1:8" s="54" customFormat="1" ht="11.4" customHeight="1" x14ac:dyDescent="0.3">
      <c r="A215" s="33"/>
      <c r="B215" s="33"/>
      <c r="C215" s="33"/>
      <c r="D215" s="33"/>
      <c r="E215" s="33"/>
      <c r="F215" s="33"/>
      <c r="G215" s="33"/>
      <c r="H215" s="33"/>
    </row>
    <row r="216" spans="1:8" s="54" customFormat="1" ht="11.4" customHeight="1" x14ac:dyDescent="0.3">
      <c r="A216" s="33"/>
      <c r="B216" s="33"/>
      <c r="C216" s="33"/>
      <c r="D216" s="33"/>
      <c r="E216" s="33"/>
      <c r="F216" s="33"/>
      <c r="G216" s="33"/>
      <c r="H216" s="33"/>
    </row>
    <row r="217" spans="1:8" s="54" customFormat="1" ht="11.4" customHeight="1" x14ac:dyDescent="0.3">
      <c r="A217" s="33"/>
      <c r="B217" s="33"/>
      <c r="C217" s="33"/>
      <c r="D217" s="33"/>
      <c r="E217" s="33"/>
      <c r="F217" s="33"/>
      <c r="G217" s="33"/>
      <c r="H217" s="33"/>
    </row>
    <row r="218" spans="1:8" s="54" customFormat="1" ht="11.4" customHeight="1" x14ac:dyDescent="0.3">
      <c r="A218" s="33"/>
      <c r="B218" s="33"/>
      <c r="C218" s="33"/>
      <c r="D218" s="33"/>
      <c r="E218" s="33"/>
      <c r="F218" s="33"/>
      <c r="G218" s="33"/>
      <c r="H218" s="33"/>
    </row>
    <row r="219" spans="1:8" s="54" customFormat="1" ht="11.4" customHeight="1" x14ac:dyDescent="0.3">
      <c r="A219" s="33"/>
      <c r="B219" s="33"/>
      <c r="C219" s="33"/>
      <c r="D219" s="33"/>
      <c r="E219" s="33"/>
      <c r="F219" s="33"/>
      <c r="G219" s="33"/>
      <c r="H219" s="33"/>
    </row>
    <row r="220" spans="1:8" s="54" customFormat="1" ht="11.4" customHeight="1" x14ac:dyDescent="0.3">
      <c r="A220" s="33"/>
      <c r="B220" s="33"/>
      <c r="C220" s="33"/>
      <c r="D220" s="33"/>
      <c r="E220" s="33"/>
      <c r="F220" s="33"/>
      <c r="G220" s="33"/>
      <c r="H220" s="33"/>
    </row>
    <row r="221" spans="1:8" s="54" customFormat="1" ht="11.4" customHeight="1" x14ac:dyDescent="0.3">
      <c r="A221" s="33"/>
      <c r="B221" s="33"/>
      <c r="C221" s="33"/>
      <c r="D221" s="33"/>
      <c r="E221" s="33"/>
      <c r="F221" s="33"/>
      <c r="G221" s="33"/>
      <c r="H221" s="33"/>
    </row>
    <row r="222" spans="1:8" s="54" customFormat="1" ht="11.4" customHeight="1" x14ac:dyDescent="0.3">
      <c r="A222" s="33"/>
      <c r="B222" s="33"/>
      <c r="C222" s="33"/>
      <c r="D222" s="33"/>
      <c r="E222" s="33"/>
      <c r="F222" s="33"/>
      <c r="G222" s="33"/>
      <c r="H222" s="33"/>
    </row>
    <row r="223" spans="1:8" s="54" customFormat="1" ht="11.4" customHeight="1" x14ac:dyDescent="0.3">
      <c r="A223" s="33"/>
      <c r="B223" s="33"/>
      <c r="C223" s="33"/>
      <c r="D223" s="33"/>
      <c r="E223" s="33"/>
      <c r="F223" s="33"/>
      <c r="G223" s="33"/>
      <c r="H223" s="33"/>
    </row>
    <row r="224" spans="1:8" s="54" customFormat="1" ht="11.4" customHeight="1" x14ac:dyDescent="0.3">
      <c r="A224" s="33"/>
      <c r="B224" s="33"/>
      <c r="C224" s="33"/>
      <c r="D224" s="33"/>
      <c r="E224" s="33"/>
      <c r="F224" s="33"/>
      <c r="G224" s="33"/>
      <c r="H224" s="33"/>
    </row>
    <row r="225" spans="1:8" s="54" customFormat="1" ht="11.4" customHeight="1" x14ac:dyDescent="0.3">
      <c r="A225" s="33"/>
      <c r="B225" s="33"/>
      <c r="C225" s="33"/>
      <c r="D225" s="33"/>
      <c r="E225" s="33"/>
      <c r="F225" s="33"/>
      <c r="G225" s="33"/>
      <c r="H225" s="33"/>
    </row>
    <row r="226" spans="1:8" s="54" customFormat="1" ht="11.4" customHeight="1" x14ac:dyDescent="0.3">
      <c r="A226" s="33"/>
      <c r="B226" s="33"/>
      <c r="C226" s="33"/>
      <c r="D226" s="33"/>
      <c r="E226" s="33"/>
      <c r="F226" s="33"/>
      <c r="G226" s="33"/>
      <c r="H226" s="33"/>
    </row>
    <row r="227" spans="1:8" s="54" customFormat="1" ht="11.4" customHeight="1" x14ac:dyDescent="0.3">
      <c r="A227" s="33"/>
      <c r="B227" s="33"/>
      <c r="C227" s="33"/>
      <c r="D227" s="33"/>
      <c r="E227" s="33"/>
      <c r="F227" s="33"/>
      <c r="G227" s="33"/>
      <c r="H227" s="33"/>
    </row>
    <row r="228" spans="1:8" s="54" customFormat="1" ht="11.4" customHeight="1" x14ac:dyDescent="0.3">
      <c r="A228" s="33"/>
      <c r="B228" s="33"/>
      <c r="C228" s="33"/>
      <c r="D228" s="33"/>
      <c r="E228" s="33"/>
      <c r="F228" s="33"/>
      <c r="G228" s="33"/>
      <c r="H228" s="33"/>
    </row>
    <row r="229" spans="1:8" s="54" customFormat="1" ht="11.4" customHeight="1" x14ac:dyDescent="0.3">
      <c r="A229" s="33"/>
      <c r="B229" s="33"/>
      <c r="C229" s="33"/>
      <c r="D229" s="33"/>
      <c r="E229" s="33"/>
      <c r="F229" s="33"/>
      <c r="G229" s="33"/>
      <c r="H229" s="33"/>
    </row>
    <row r="230" spans="1:8" s="54" customFormat="1" ht="11.4" customHeight="1" x14ac:dyDescent="0.3">
      <c r="A230" s="33"/>
      <c r="B230" s="33"/>
      <c r="C230" s="33"/>
      <c r="D230" s="33"/>
      <c r="E230" s="33"/>
      <c r="F230" s="33"/>
      <c r="G230" s="33"/>
      <c r="H230" s="33"/>
    </row>
    <row r="231" spans="1:8" s="54" customFormat="1" ht="11.4" customHeight="1" x14ac:dyDescent="0.3">
      <c r="A231" s="33"/>
      <c r="B231" s="33"/>
      <c r="C231" s="33"/>
      <c r="D231" s="33"/>
      <c r="E231" s="33"/>
      <c r="F231" s="33"/>
      <c r="G231" s="33"/>
      <c r="H231" s="33"/>
    </row>
    <row r="232" spans="1:8" s="54" customFormat="1" ht="11.4" customHeight="1" x14ac:dyDescent="0.3">
      <c r="A232" s="33"/>
      <c r="B232" s="33"/>
      <c r="C232" s="33"/>
      <c r="D232" s="33"/>
      <c r="E232" s="33"/>
      <c r="F232" s="33"/>
      <c r="G232" s="33"/>
      <c r="H232" s="33"/>
    </row>
    <row r="233" spans="1:8" s="54" customFormat="1" ht="11.4" customHeight="1" x14ac:dyDescent="0.3">
      <c r="A233" s="33"/>
      <c r="B233" s="33"/>
      <c r="C233" s="33"/>
      <c r="D233" s="33"/>
      <c r="E233" s="33"/>
      <c r="F233" s="33"/>
      <c r="G233" s="33"/>
      <c r="H233" s="33"/>
    </row>
    <row r="234" spans="1:8" s="54" customFormat="1" ht="11.4" customHeight="1" x14ac:dyDescent="0.3">
      <c r="A234" s="33"/>
      <c r="B234" s="33"/>
      <c r="C234" s="33"/>
      <c r="D234" s="33"/>
      <c r="E234" s="33"/>
      <c r="F234" s="33"/>
      <c r="G234" s="33"/>
      <c r="H234" s="33"/>
    </row>
    <row r="235" spans="1:8" s="54" customFormat="1" ht="11.4" customHeight="1" x14ac:dyDescent="0.3">
      <c r="A235" s="33"/>
      <c r="B235" s="33"/>
      <c r="C235" s="33"/>
      <c r="D235" s="33"/>
      <c r="E235" s="33"/>
      <c r="F235" s="33"/>
      <c r="G235" s="33"/>
      <c r="H235" s="33"/>
    </row>
    <row r="236" spans="1:8" s="54" customFormat="1" ht="11.4" customHeight="1" x14ac:dyDescent="0.3">
      <c r="A236" s="33"/>
      <c r="B236" s="33"/>
      <c r="C236" s="33"/>
      <c r="D236" s="33"/>
      <c r="E236" s="33"/>
      <c r="F236" s="33"/>
      <c r="G236" s="33"/>
      <c r="H236" s="33"/>
    </row>
    <row r="237" spans="1:8" s="54" customFormat="1" ht="11.4" customHeight="1" x14ac:dyDescent="0.3">
      <c r="A237" s="33"/>
      <c r="B237" s="33"/>
      <c r="C237" s="33"/>
      <c r="D237" s="33"/>
      <c r="E237" s="33"/>
      <c r="F237" s="33"/>
      <c r="G237" s="33"/>
      <c r="H237" s="33"/>
    </row>
    <row r="238" spans="1:8" s="54" customFormat="1" ht="11.4" customHeight="1" x14ac:dyDescent="0.3">
      <c r="A238" s="33"/>
      <c r="B238" s="33"/>
      <c r="C238" s="33"/>
      <c r="D238" s="33"/>
      <c r="E238" s="33"/>
      <c r="F238" s="33"/>
      <c r="G238" s="33"/>
      <c r="H238" s="33"/>
    </row>
    <row r="239" spans="1:8" s="54" customFormat="1" ht="11.4" customHeight="1" x14ac:dyDescent="0.3">
      <c r="A239" s="33"/>
      <c r="B239" s="33"/>
      <c r="C239" s="33"/>
      <c r="D239" s="33"/>
      <c r="E239" s="33"/>
      <c r="F239" s="33"/>
      <c r="G239" s="33"/>
      <c r="H239" s="33"/>
    </row>
    <row r="240" spans="1:8" s="54" customFormat="1" ht="11.4" customHeight="1" x14ac:dyDescent="0.3">
      <c r="A240" s="33"/>
      <c r="B240" s="33"/>
      <c r="C240" s="33"/>
      <c r="D240" s="33"/>
      <c r="E240" s="33"/>
      <c r="F240" s="33"/>
      <c r="G240" s="33"/>
      <c r="H240" s="33"/>
    </row>
    <row r="241" spans="1:8" s="54" customFormat="1" ht="11.4" customHeight="1" x14ac:dyDescent="0.3">
      <c r="A241" s="33"/>
      <c r="B241" s="33"/>
      <c r="C241" s="33"/>
      <c r="D241" s="33"/>
      <c r="E241" s="33"/>
      <c r="F241" s="33"/>
      <c r="G241" s="33"/>
      <c r="H241" s="33"/>
    </row>
    <row r="242" spans="1:8" s="54" customFormat="1" ht="11.4" customHeight="1" x14ac:dyDescent="0.3">
      <c r="A242" s="33"/>
      <c r="B242" s="33"/>
      <c r="C242" s="33"/>
      <c r="D242" s="33"/>
      <c r="E242" s="33"/>
      <c r="F242" s="33"/>
      <c r="G242" s="33"/>
      <c r="H242" s="33"/>
    </row>
    <row r="243" spans="1:8" s="54" customFormat="1" ht="11.4" customHeight="1" x14ac:dyDescent="0.3">
      <c r="A243" s="33"/>
      <c r="B243" s="33"/>
      <c r="C243" s="33"/>
      <c r="D243" s="33"/>
      <c r="E243" s="33"/>
      <c r="F243" s="33"/>
      <c r="G243" s="33"/>
      <c r="H243" s="33"/>
    </row>
    <row r="244" spans="1:8" s="54" customFormat="1" ht="11.4" customHeight="1" x14ac:dyDescent="0.3">
      <c r="A244" s="33"/>
      <c r="B244" s="33"/>
      <c r="C244" s="33"/>
      <c r="D244" s="33"/>
      <c r="E244" s="33"/>
      <c r="F244" s="33"/>
      <c r="G244" s="33"/>
      <c r="H244" s="33"/>
    </row>
    <row r="245" spans="1:8" s="54" customFormat="1" ht="11.4" customHeight="1" x14ac:dyDescent="0.3">
      <c r="A245" s="33"/>
      <c r="B245" s="33"/>
      <c r="C245" s="33"/>
      <c r="D245" s="33"/>
      <c r="E245" s="33"/>
      <c r="F245" s="33"/>
      <c r="G245" s="33"/>
      <c r="H245" s="33"/>
    </row>
    <row r="246" spans="1:8" s="54" customFormat="1" ht="11.4" customHeight="1" x14ac:dyDescent="0.3">
      <c r="A246" s="33"/>
      <c r="B246" s="33"/>
      <c r="C246" s="33"/>
      <c r="D246" s="33"/>
      <c r="E246" s="33"/>
      <c r="F246" s="33"/>
      <c r="G246" s="33"/>
      <c r="H246" s="33"/>
    </row>
    <row r="247" spans="1:8" s="54" customFormat="1" ht="11.4" customHeight="1" x14ac:dyDescent="0.3">
      <c r="A247" s="33"/>
      <c r="B247" s="33"/>
      <c r="C247" s="33"/>
      <c r="D247" s="33"/>
      <c r="E247" s="33"/>
      <c r="F247" s="33"/>
      <c r="G247" s="33"/>
      <c r="H247" s="33"/>
    </row>
    <row r="248" spans="1:8" s="54" customFormat="1" ht="11.4" customHeight="1" x14ac:dyDescent="0.3">
      <c r="A248" s="33"/>
      <c r="B248" s="33"/>
      <c r="C248" s="33"/>
      <c r="D248" s="33"/>
      <c r="E248" s="33"/>
      <c r="F248" s="33"/>
      <c r="G248" s="33"/>
      <c r="H248" s="33"/>
    </row>
    <row r="249" spans="1:8" s="54" customFormat="1" ht="11.4" customHeight="1" x14ac:dyDescent="0.3">
      <c r="A249" s="33"/>
      <c r="B249" s="33"/>
      <c r="C249" s="33"/>
      <c r="D249" s="33"/>
      <c r="E249" s="33"/>
      <c r="F249" s="33"/>
      <c r="G249" s="33"/>
      <c r="H249" s="33"/>
    </row>
    <row r="250" spans="1:8" s="54" customFormat="1" ht="11.4" customHeight="1" x14ac:dyDescent="0.3">
      <c r="A250" s="33"/>
      <c r="B250" s="33"/>
      <c r="C250" s="33"/>
      <c r="D250" s="33"/>
      <c r="E250" s="33"/>
      <c r="F250" s="33"/>
      <c r="G250" s="33"/>
      <c r="H250" s="33"/>
    </row>
    <row r="251" spans="1:8" s="54" customFormat="1" ht="11.4" customHeight="1" x14ac:dyDescent="0.3">
      <c r="A251" s="33"/>
      <c r="B251" s="33"/>
      <c r="C251" s="33"/>
      <c r="D251" s="33"/>
      <c r="E251" s="33"/>
      <c r="F251" s="33"/>
      <c r="G251" s="33"/>
      <c r="H251" s="33"/>
    </row>
    <row r="252" spans="1:8" s="54" customFormat="1" ht="11.4" customHeight="1" x14ac:dyDescent="0.3">
      <c r="A252" s="33"/>
      <c r="B252" s="33"/>
      <c r="C252" s="33"/>
      <c r="D252" s="33"/>
      <c r="E252" s="33"/>
      <c r="F252" s="33"/>
      <c r="G252" s="33"/>
      <c r="H252" s="33"/>
    </row>
    <row r="253" spans="1:8" s="54" customFormat="1" ht="11.4" customHeight="1" x14ac:dyDescent="0.3">
      <c r="A253" s="33"/>
      <c r="B253" s="33"/>
      <c r="C253" s="33"/>
      <c r="D253" s="33"/>
      <c r="E253" s="33"/>
      <c r="F253" s="33"/>
      <c r="G253" s="33"/>
      <c r="H253" s="33"/>
    </row>
    <row r="254" spans="1:8" s="54" customFormat="1" ht="11.4" customHeight="1" x14ac:dyDescent="0.3">
      <c r="A254" s="33"/>
      <c r="B254" s="33"/>
      <c r="C254" s="33"/>
      <c r="D254" s="33"/>
      <c r="E254" s="33"/>
      <c r="F254" s="33"/>
      <c r="G254" s="33"/>
      <c r="H254" s="33"/>
    </row>
    <row r="255" spans="1:8" s="54" customFormat="1" ht="11.4" customHeight="1" x14ac:dyDescent="0.3">
      <c r="A255" s="33"/>
      <c r="B255" s="33"/>
      <c r="C255" s="33"/>
      <c r="D255" s="33"/>
      <c r="E255" s="33"/>
      <c r="F255" s="33"/>
      <c r="G255" s="33"/>
      <c r="H255" s="33"/>
    </row>
    <row r="256" spans="1:8" s="54" customFormat="1" ht="11.4" customHeight="1" x14ac:dyDescent="0.3">
      <c r="A256" s="33"/>
      <c r="B256" s="33"/>
      <c r="C256" s="33"/>
      <c r="D256" s="33"/>
      <c r="E256" s="33"/>
      <c r="F256" s="33"/>
      <c r="G256" s="33"/>
      <c r="H256" s="33"/>
    </row>
    <row r="257" spans="1:8" s="54" customFormat="1" ht="11.4" customHeight="1" x14ac:dyDescent="0.3">
      <c r="A257" s="33"/>
      <c r="B257" s="33"/>
      <c r="C257" s="33"/>
      <c r="D257" s="33"/>
      <c r="E257" s="33"/>
      <c r="F257" s="33"/>
      <c r="G257" s="33"/>
      <c r="H257" s="33"/>
    </row>
    <row r="258" spans="1:8" s="54" customFormat="1" ht="11.4" customHeight="1" x14ac:dyDescent="0.3">
      <c r="A258" s="33"/>
      <c r="B258" s="33"/>
      <c r="C258" s="33"/>
      <c r="D258" s="33"/>
      <c r="E258" s="33"/>
      <c r="F258" s="33"/>
      <c r="G258" s="33"/>
      <c r="H258" s="33"/>
    </row>
    <row r="259" spans="1:8" s="54" customFormat="1" ht="11.4" customHeight="1" x14ac:dyDescent="0.3">
      <c r="A259" s="33"/>
      <c r="B259" s="33"/>
      <c r="C259" s="33"/>
      <c r="D259" s="33"/>
      <c r="E259" s="33"/>
      <c r="F259" s="33"/>
      <c r="G259" s="33"/>
      <c r="H259" s="33"/>
    </row>
    <row r="260" spans="1:8" s="54" customFormat="1" ht="11.4" customHeight="1" x14ac:dyDescent="0.3">
      <c r="A260" s="33"/>
      <c r="B260" s="33"/>
      <c r="C260" s="33"/>
      <c r="D260" s="33"/>
      <c r="E260" s="33"/>
      <c r="F260" s="33"/>
      <c r="G260" s="33"/>
      <c r="H260" s="33"/>
    </row>
    <row r="261" spans="1:8" s="54" customFormat="1" ht="11.4" customHeight="1" x14ac:dyDescent="0.3">
      <c r="A261" s="33"/>
      <c r="B261" s="33"/>
      <c r="C261" s="33"/>
      <c r="D261" s="33"/>
      <c r="E261" s="33"/>
      <c r="F261" s="33"/>
      <c r="G261" s="33"/>
      <c r="H261" s="33"/>
    </row>
    <row r="262" spans="1:8" s="54" customFormat="1" ht="11.4" customHeight="1" x14ac:dyDescent="0.3">
      <c r="A262" s="33"/>
      <c r="B262" s="33"/>
      <c r="C262" s="33"/>
      <c r="D262" s="33"/>
      <c r="E262" s="33"/>
      <c r="F262" s="33"/>
      <c r="G262" s="33"/>
      <c r="H262" s="33"/>
    </row>
    <row r="263" spans="1:8" s="54" customFormat="1" ht="11.4" customHeight="1" x14ac:dyDescent="0.3">
      <c r="A263" s="33"/>
      <c r="B263" s="33"/>
      <c r="C263" s="33"/>
      <c r="D263" s="33"/>
      <c r="E263" s="33"/>
      <c r="F263" s="33"/>
      <c r="G263" s="33"/>
      <c r="H263" s="33"/>
    </row>
    <row r="264" spans="1:8" s="54" customFormat="1" ht="11.4" customHeight="1" x14ac:dyDescent="0.3">
      <c r="A264" s="33"/>
      <c r="B264" s="33"/>
      <c r="C264" s="33"/>
      <c r="D264" s="33"/>
      <c r="E264" s="33"/>
      <c r="F264" s="33"/>
      <c r="G264" s="33"/>
      <c r="H264" s="33"/>
    </row>
    <row r="265" spans="1:8" s="54" customFormat="1" ht="11.4" customHeight="1" x14ac:dyDescent="0.3">
      <c r="A265" s="33"/>
      <c r="B265" s="33"/>
      <c r="C265" s="33"/>
      <c r="D265" s="33"/>
      <c r="E265" s="33"/>
      <c r="F265" s="33"/>
      <c r="G265" s="33"/>
      <c r="H265" s="33"/>
    </row>
    <row r="266" spans="1:8" s="54" customFormat="1" ht="11.4" customHeight="1" x14ac:dyDescent="0.3">
      <c r="A266" s="33"/>
      <c r="B266" s="33"/>
      <c r="C266" s="33"/>
      <c r="D266" s="33"/>
      <c r="E266" s="33"/>
      <c r="F266" s="33"/>
      <c r="G266" s="33"/>
      <c r="H266" s="33"/>
    </row>
    <row r="267" spans="1:8" s="54" customFormat="1" ht="11.4" customHeight="1" x14ac:dyDescent="0.3">
      <c r="A267" s="33"/>
      <c r="B267" s="33"/>
      <c r="C267" s="33"/>
      <c r="D267" s="33"/>
      <c r="E267" s="33"/>
      <c r="F267" s="33"/>
      <c r="G267" s="33"/>
      <c r="H267" s="33"/>
    </row>
    <row r="268" spans="1:8" s="54" customFormat="1" ht="11.4" customHeight="1" x14ac:dyDescent="0.3">
      <c r="A268" s="33"/>
      <c r="B268" s="33"/>
      <c r="C268" s="33"/>
      <c r="D268" s="33"/>
      <c r="E268" s="33"/>
      <c r="F268" s="33"/>
      <c r="G268" s="33"/>
      <c r="H268" s="33"/>
    </row>
    <row r="269" spans="1:8" s="54" customFormat="1" ht="11.4" customHeight="1" x14ac:dyDescent="0.3">
      <c r="A269" s="33"/>
      <c r="B269" s="33"/>
      <c r="C269" s="33"/>
      <c r="D269" s="33"/>
      <c r="E269" s="33"/>
      <c r="F269" s="33"/>
      <c r="G269" s="33"/>
      <c r="H269" s="33"/>
    </row>
    <row r="270" spans="1:8" s="54" customFormat="1" ht="11.4" customHeight="1" x14ac:dyDescent="0.3">
      <c r="A270" s="33"/>
      <c r="B270" s="33"/>
      <c r="C270" s="33"/>
      <c r="D270" s="33"/>
      <c r="E270" s="33"/>
      <c r="F270" s="33"/>
      <c r="G270" s="33"/>
      <c r="H270" s="33"/>
    </row>
    <row r="271" spans="1:8" s="54" customFormat="1" ht="11.4" customHeight="1" x14ac:dyDescent="0.3">
      <c r="A271" s="33"/>
      <c r="B271" s="33"/>
      <c r="C271" s="33"/>
      <c r="D271" s="33"/>
      <c r="E271" s="33"/>
      <c r="F271" s="33"/>
      <c r="G271" s="33"/>
      <c r="H271" s="33"/>
    </row>
    <row r="272" spans="1:8" s="54" customFormat="1" ht="11.4" customHeight="1" x14ac:dyDescent="0.3">
      <c r="A272" s="33"/>
      <c r="B272" s="33"/>
      <c r="C272" s="33"/>
      <c r="D272" s="33"/>
      <c r="E272" s="33"/>
      <c r="F272" s="33"/>
      <c r="G272" s="33"/>
      <c r="H272" s="33"/>
    </row>
    <row r="273" spans="1:8" s="54" customFormat="1" ht="11.4" customHeight="1" x14ac:dyDescent="0.3">
      <c r="A273" s="33"/>
      <c r="B273" s="33"/>
      <c r="C273" s="33"/>
      <c r="D273" s="33"/>
      <c r="E273" s="33"/>
      <c r="F273" s="33"/>
      <c r="G273" s="33"/>
      <c r="H273" s="33"/>
    </row>
    <row r="274" spans="1:8" s="54" customFormat="1" ht="11.4" customHeight="1" x14ac:dyDescent="0.3">
      <c r="A274" s="33"/>
      <c r="B274" s="33"/>
      <c r="C274" s="33"/>
      <c r="D274" s="33"/>
      <c r="E274" s="33"/>
      <c r="F274" s="33"/>
      <c r="G274" s="33"/>
      <c r="H274" s="33"/>
    </row>
    <row r="275" spans="1:8" s="54" customFormat="1" ht="11.4" customHeight="1" x14ac:dyDescent="0.3">
      <c r="A275" s="33"/>
      <c r="B275" s="33"/>
      <c r="C275" s="33"/>
      <c r="D275" s="33"/>
      <c r="E275" s="33"/>
      <c r="F275" s="33"/>
      <c r="G275" s="33"/>
      <c r="H275" s="33"/>
    </row>
    <row r="276" spans="1:8" s="54" customFormat="1" ht="11.4" customHeight="1" x14ac:dyDescent="0.3">
      <c r="A276" s="33"/>
      <c r="B276" s="33"/>
      <c r="C276" s="33"/>
      <c r="D276" s="33"/>
      <c r="E276" s="33"/>
      <c r="F276" s="33"/>
      <c r="G276" s="33"/>
      <c r="H276" s="33"/>
    </row>
    <row r="277" spans="1:8" s="54" customFormat="1" ht="11.4" customHeight="1" x14ac:dyDescent="0.3">
      <c r="A277" s="33"/>
      <c r="B277" s="33"/>
      <c r="C277" s="33"/>
      <c r="D277" s="33"/>
      <c r="E277" s="33"/>
      <c r="F277" s="33"/>
      <c r="G277" s="33"/>
      <c r="H277" s="33"/>
    </row>
    <row r="278" spans="1:8" s="54" customFormat="1" ht="11.4" customHeight="1" x14ac:dyDescent="0.3">
      <c r="A278" s="33"/>
      <c r="B278" s="33"/>
      <c r="C278" s="33"/>
      <c r="D278" s="33"/>
      <c r="E278" s="33"/>
      <c r="F278" s="33"/>
      <c r="G278" s="33"/>
      <c r="H278" s="33"/>
    </row>
    <row r="279" spans="1:8" s="54" customFormat="1" ht="11.4" customHeight="1" x14ac:dyDescent="0.3">
      <c r="A279" s="33"/>
      <c r="B279" s="33"/>
      <c r="C279" s="33"/>
      <c r="D279" s="33"/>
      <c r="E279" s="33"/>
      <c r="F279" s="33"/>
      <c r="G279" s="33"/>
      <c r="H279" s="33"/>
    </row>
    <row r="280" spans="1:8" s="54" customFormat="1" ht="11.4" customHeight="1" x14ac:dyDescent="0.3">
      <c r="A280" s="33"/>
      <c r="B280" s="33"/>
      <c r="C280" s="33"/>
      <c r="D280" s="33"/>
      <c r="E280" s="33"/>
      <c r="F280" s="33"/>
      <c r="G280" s="33"/>
      <c r="H280" s="33"/>
    </row>
    <row r="281" spans="1:8" s="54" customFormat="1" ht="11.4" customHeight="1" x14ac:dyDescent="0.3">
      <c r="A281" s="33"/>
      <c r="B281" s="33"/>
      <c r="C281" s="33"/>
      <c r="D281" s="33"/>
      <c r="E281" s="33"/>
      <c r="F281" s="33"/>
      <c r="G281" s="33"/>
      <c r="H281" s="33"/>
    </row>
    <row r="282" spans="1:8" s="54" customFormat="1" ht="11.4" customHeight="1" x14ac:dyDescent="0.3">
      <c r="A282" s="33"/>
      <c r="B282" s="33"/>
      <c r="C282" s="33"/>
      <c r="D282" s="33"/>
      <c r="E282" s="33"/>
      <c r="F282" s="33"/>
      <c r="G282" s="33"/>
      <c r="H282" s="33"/>
    </row>
    <row r="283" spans="1:8" s="54" customFormat="1" ht="11.4" customHeight="1" x14ac:dyDescent="0.3">
      <c r="A283" s="33"/>
      <c r="B283" s="33"/>
      <c r="C283" s="33"/>
      <c r="D283" s="33"/>
      <c r="E283" s="33"/>
      <c r="F283" s="33"/>
      <c r="G283" s="33"/>
      <c r="H283" s="33"/>
    </row>
    <row r="284" spans="1:8" s="54" customFormat="1" ht="11.4" customHeight="1" x14ac:dyDescent="0.3">
      <c r="A284" s="33"/>
      <c r="B284" s="33"/>
      <c r="C284" s="33"/>
      <c r="D284" s="33"/>
      <c r="E284" s="33"/>
      <c r="F284" s="33"/>
      <c r="G284" s="33"/>
      <c r="H284" s="33"/>
    </row>
    <row r="285" spans="1:8" s="54" customFormat="1" ht="11.4" customHeight="1" x14ac:dyDescent="0.3">
      <c r="A285" s="33"/>
      <c r="B285" s="33"/>
      <c r="C285" s="33"/>
      <c r="D285" s="33"/>
      <c r="E285" s="33"/>
      <c r="F285" s="33"/>
      <c r="G285" s="33"/>
      <c r="H285" s="33"/>
    </row>
    <row r="286" spans="1:8" s="54" customFormat="1" ht="11.4" customHeight="1" x14ac:dyDescent="0.3">
      <c r="A286" s="33"/>
      <c r="B286" s="33"/>
      <c r="C286" s="33"/>
      <c r="D286" s="33"/>
      <c r="E286" s="33"/>
      <c r="F286" s="33"/>
      <c r="G286" s="33"/>
      <c r="H286" s="33"/>
    </row>
    <row r="287" spans="1:8" s="54" customFormat="1" ht="11.4" customHeight="1" x14ac:dyDescent="0.3">
      <c r="A287" s="33"/>
      <c r="B287" s="33"/>
      <c r="C287" s="33"/>
      <c r="D287" s="33"/>
      <c r="E287" s="33"/>
      <c r="F287" s="33"/>
      <c r="G287" s="33"/>
      <c r="H287" s="33"/>
    </row>
    <row r="288" spans="1:8" s="54" customFormat="1" ht="11.4" customHeight="1" x14ac:dyDescent="0.3">
      <c r="A288" s="33"/>
      <c r="B288" s="33"/>
      <c r="C288" s="33"/>
      <c r="D288" s="33"/>
      <c r="E288" s="33"/>
      <c r="F288" s="33"/>
      <c r="G288" s="33"/>
      <c r="H288" s="33"/>
    </row>
    <row r="289" spans="1:8" s="54" customFormat="1" ht="11.4" customHeight="1" x14ac:dyDescent="0.3">
      <c r="A289" s="33"/>
      <c r="B289" s="33"/>
      <c r="C289" s="33"/>
      <c r="D289" s="33"/>
      <c r="E289" s="33"/>
      <c r="F289" s="33"/>
      <c r="G289" s="33"/>
      <c r="H289" s="33"/>
    </row>
    <row r="290" spans="1:8" s="54" customFormat="1" ht="11.4" customHeight="1" x14ac:dyDescent="0.3">
      <c r="A290" s="33"/>
      <c r="B290" s="33"/>
      <c r="C290" s="33"/>
      <c r="D290" s="33"/>
      <c r="E290" s="33"/>
      <c r="F290" s="33"/>
      <c r="G290" s="33"/>
      <c r="H290" s="33"/>
    </row>
    <row r="291" spans="1:8" s="54" customFormat="1" ht="11.4" customHeight="1" x14ac:dyDescent="0.3">
      <c r="A291" s="33"/>
      <c r="B291" s="33"/>
      <c r="C291" s="33"/>
      <c r="D291" s="33"/>
      <c r="E291" s="33"/>
      <c r="F291" s="33"/>
      <c r="G291" s="33"/>
      <c r="H291" s="33"/>
    </row>
    <row r="292" spans="1:8" s="54" customFormat="1" ht="11.4" customHeight="1" x14ac:dyDescent="0.3">
      <c r="A292" s="33"/>
      <c r="B292" s="33"/>
      <c r="C292" s="33"/>
      <c r="D292" s="33"/>
      <c r="E292" s="33"/>
      <c r="F292" s="33"/>
      <c r="G292" s="33"/>
      <c r="H292" s="33"/>
    </row>
    <row r="293" spans="1:8" s="54" customFormat="1" ht="11.4" customHeight="1" x14ac:dyDescent="0.3">
      <c r="A293" s="33"/>
      <c r="B293" s="33"/>
      <c r="C293" s="33"/>
      <c r="D293" s="33"/>
      <c r="E293" s="33"/>
      <c r="F293" s="33"/>
      <c r="G293" s="33"/>
      <c r="H293" s="33"/>
    </row>
    <row r="294" spans="1:8" s="54" customFormat="1" ht="11.4" customHeight="1" x14ac:dyDescent="0.3">
      <c r="A294" s="33"/>
      <c r="B294" s="33"/>
      <c r="C294" s="33"/>
      <c r="D294" s="33"/>
      <c r="E294" s="33"/>
      <c r="F294" s="33"/>
      <c r="G294" s="33"/>
      <c r="H294" s="33"/>
    </row>
    <row r="295" spans="1:8" s="54" customFormat="1" ht="11.4" customHeight="1" x14ac:dyDescent="0.3">
      <c r="A295" s="33"/>
      <c r="B295" s="33"/>
      <c r="C295" s="33"/>
      <c r="D295" s="33"/>
      <c r="E295" s="33"/>
      <c r="F295" s="33"/>
      <c r="G295" s="33"/>
      <c r="H295" s="33"/>
    </row>
    <row r="296" spans="1:8" s="54" customFormat="1" ht="11.4" customHeight="1" x14ac:dyDescent="0.3">
      <c r="A296" s="33"/>
      <c r="B296" s="33"/>
      <c r="C296" s="33"/>
      <c r="D296" s="33"/>
      <c r="E296" s="33"/>
      <c r="F296" s="33"/>
      <c r="G296" s="33"/>
      <c r="H296" s="33"/>
    </row>
    <row r="297" spans="1:8" s="54" customFormat="1" ht="11.4" customHeight="1" x14ac:dyDescent="0.3">
      <c r="A297" s="33"/>
      <c r="B297" s="33"/>
      <c r="C297" s="33"/>
      <c r="D297" s="33"/>
      <c r="E297" s="33"/>
      <c r="F297" s="33"/>
      <c r="G297" s="33"/>
      <c r="H297" s="33"/>
    </row>
    <row r="298" spans="1:8" s="54" customFormat="1" ht="11.4" customHeight="1" x14ac:dyDescent="0.3">
      <c r="A298" s="33"/>
      <c r="B298" s="33"/>
      <c r="C298" s="33"/>
      <c r="D298" s="33"/>
      <c r="E298" s="33"/>
      <c r="F298" s="33"/>
      <c r="G298" s="33"/>
      <c r="H298" s="33"/>
    </row>
    <row r="299" spans="1:8" s="54" customFormat="1" ht="11.4" customHeight="1" x14ac:dyDescent="0.3">
      <c r="A299" s="33"/>
      <c r="B299" s="33"/>
      <c r="C299" s="33"/>
      <c r="D299" s="33"/>
      <c r="E299" s="33"/>
      <c r="F299" s="33"/>
      <c r="G299" s="33"/>
      <c r="H299" s="33"/>
    </row>
    <row r="300" spans="1:8" s="54" customFormat="1" ht="11.4" customHeight="1" x14ac:dyDescent="0.3">
      <c r="A300" s="33"/>
      <c r="B300" s="33"/>
      <c r="C300" s="33"/>
      <c r="D300" s="33"/>
      <c r="E300" s="33"/>
      <c r="F300" s="33"/>
      <c r="G300" s="33"/>
      <c r="H300" s="33"/>
    </row>
    <row r="301" spans="1:8" s="54" customFormat="1" ht="11.4" customHeight="1" x14ac:dyDescent="0.3">
      <c r="A301" s="33"/>
      <c r="B301" s="33"/>
      <c r="C301" s="33"/>
      <c r="D301" s="33"/>
      <c r="E301" s="33"/>
      <c r="F301" s="33"/>
      <c r="G301" s="33"/>
      <c r="H301" s="33"/>
    </row>
    <row r="302" spans="1:8" s="54" customFormat="1" ht="11.4" customHeight="1" x14ac:dyDescent="0.3">
      <c r="A302" s="33"/>
      <c r="B302" s="33"/>
      <c r="C302" s="33"/>
      <c r="D302" s="33"/>
      <c r="E302" s="33"/>
      <c r="F302" s="33"/>
      <c r="G302" s="33"/>
      <c r="H302" s="33"/>
    </row>
    <row r="303" spans="1:8" s="54" customFormat="1" ht="11.4" customHeight="1" x14ac:dyDescent="0.3">
      <c r="A303" s="33"/>
      <c r="B303" s="33"/>
      <c r="C303" s="33"/>
      <c r="D303" s="33"/>
      <c r="E303" s="33"/>
      <c r="F303" s="33"/>
      <c r="G303" s="33"/>
      <c r="H303" s="33"/>
    </row>
    <row r="304" spans="1:8" s="54" customFormat="1" ht="11.4" customHeight="1" x14ac:dyDescent="0.3">
      <c r="A304" s="33"/>
      <c r="B304" s="33"/>
      <c r="C304" s="33"/>
      <c r="D304" s="33"/>
      <c r="E304" s="33"/>
      <c r="F304" s="33"/>
      <c r="G304" s="33"/>
      <c r="H304" s="33"/>
    </row>
    <row r="305" spans="1:8" s="54" customFormat="1" ht="11.4" customHeight="1" x14ac:dyDescent="0.3">
      <c r="A305" s="33"/>
      <c r="B305" s="33"/>
      <c r="C305" s="33"/>
      <c r="D305" s="33"/>
      <c r="E305" s="33"/>
      <c r="F305" s="33"/>
      <c r="G305" s="33"/>
      <c r="H305" s="33"/>
    </row>
    <row r="306" spans="1:8" s="54" customFormat="1" ht="11.4" customHeight="1" x14ac:dyDescent="0.3">
      <c r="A306" s="33"/>
      <c r="B306" s="33"/>
      <c r="C306" s="33"/>
      <c r="D306" s="33"/>
      <c r="E306" s="33"/>
      <c r="F306" s="33"/>
      <c r="G306" s="33"/>
      <c r="H306" s="33"/>
    </row>
    <row r="307" spans="1:8" s="54" customFormat="1" ht="11.4" customHeight="1" x14ac:dyDescent="0.3">
      <c r="A307" s="33"/>
      <c r="B307" s="33"/>
      <c r="C307" s="33"/>
      <c r="D307" s="33"/>
      <c r="E307" s="33"/>
      <c r="F307" s="33"/>
      <c r="G307" s="33"/>
      <c r="H307" s="33"/>
    </row>
    <row r="308" spans="1:8" s="54" customFormat="1" ht="11.4" customHeight="1" x14ac:dyDescent="0.3">
      <c r="A308" s="33"/>
      <c r="B308" s="33"/>
      <c r="C308" s="33"/>
      <c r="D308" s="33"/>
      <c r="E308" s="33"/>
      <c r="F308" s="33"/>
      <c r="G308" s="33"/>
      <c r="H308" s="33"/>
    </row>
    <row r="309" spans="1:8" s="54" customFormat="1" ht="11.4" customHeight="1" x14ac:dyDescent="0.3">
      <c r="A309" s="33"/>
      <c r="B309" s="33"/>
      <c r="C309" s="33"/>
      <c r="D309" s="33"/>
      <c r="E309" s="33"/>
      <c r="F309" s="33"/>
      <c r="G309" s="33"/>
      <c r="H309" s="33"/>
    </row>
    <row r="310" spans="1:8" s="54" customFormat="1" ht="11.4" customHeight="1" x14ac:dyDescent="0.3">
      <c r="A310" s="33"/>
      <c r="B310" s="33"/>
      <c r="C310" s="33"/>
      <c r="D310" s="33"/>
      <c r="E310" s="33"/>
      <c r="F310" s="33"/>
      <c r="G310" s="33"/>
      <c r="H310" s="33"/>
    </row>
    <row r="311" spans="1:8" s="54" customFormat="1" ht="11.4" customHeight="1" x14ac:dyDescent="0.3">
      <c r="A311" s="33"/>
      <c r="B311" s="33"/>
      <c r="C311" s="33"/>
      <c r="D311" s="33"/>
      <c r="E311" s="33"/>
      <c r="F311" s="33"/>
      <c r="G311" s="33"/>
      <c r="H311" s="33"/>
    </row>
    <row r="312" spans="1:8" s="54" customFormat="1" ht="11.4" customHeight="1" x14ac:dyDescent="0.3">
      <c r="A312" s="33"/>
      <c r="B312" s="33"/>
      <c r="C312" s="33"/>
      <c r="D312" s="33"/>
      <c r="E312" s="33"/>
      <c r="F312" s="33"/>
      <c r="G312" s="33"/>
      <c r="H312" s="33"/>
    </row>
    <row r="313" spans="1:8" s="54" customFormat="1" ht="11.4" customHeight="1" x14ac:dyDescent="0.3">
      <c r="A313" s="33"/>
      <c r="B313" s="33"/>
      <c r="C313" s="33"/>
      <c r="D313" s="33"/>
      <c r="E313" s="33"/>
      <c r="F313" s="33"/>
      <c r="G313" s="33"/>
      <c r="H313" s="33"/>
    </row>
    <row r="314" spans="1:8" s="54" customFormat="1" ht="11.4" customHeight="1" x14ac:dyDescent="0.3">
      <c r="A314" s="33"/>
      <c r="B314" s="33"/>
      <c r="C314" s="33"/>
      <c r="D314" s="33"/>
      <c r="E314" s="33"/>
      <c r="F314" s="33"/>
      <c r="G314" s="33"/>
      <c r="H314" s="33"/>
    </row>
    <row r="315" spans="1:8" s="54" customFormat="1" ht="11.4" customHeight="1" x14ac:dyDescent="0.3">
      <c r="A315" s="33"/>
      <c r="B315" s="33"/>
      <c r="C315" s="33"/>
      <c r="D315" s="33"/>
      <c r="E315" s="33"/>
      <c r="F315" s="33"/>
      <c r="G315" s="33"/>
      <c r="H315" s="33"/>
    </row>
    <row r="316" spans="1:8" s="54" customFormat="1" ht="11.4" customHeight="1" x14ac:dyDescent="0.3">
      <c r="A316" s="33"/>
      <c r="B316" s="33"/>
      <c r="C316" s="33"/>
      <c r="D316" s="33"/>
      <c r="E316" s="33"/>
      <c r="F316" s="33"/>
      <c r="G316" s="33"/>
      <c r="H316" s="33"/>
    </row>
    <row r="317" spans="1:8" s="54" customFormat="1" ht="11.4" customHeight="1" x14ac:dyDescent="0.3">
      <c r="A317" s="33"/>
      <c r="B317" s="33"/>
      <c r="C317" s="33"/>
      <c r="D317" s="33"/>
      <c r="E317" s="33"/>
      <c r="F317" s="33"/>
      <c r="G317" s="33"/>
      <c r="H317" s="33"/>
    </row>
    <row r="318" spans="1:8" s="54" customFormat="1" ht="11.4" customHeight="1" x14ac:dyDescent="0.3">
      <c r="A318" s="33"/>
      <c r="B318" s="33"/>
      <c r="C318" s="33"/>
      <c r="D318" s="33"/>
      <c r="E318" s="33"/>
      <c r="F318" s="33"/>
      <c r="G318" s="33"/>
      <c r="H318" s="33"/>
    </row>
    <row r="319" spans="1:8" s="54" customFormat="1" ht="11.4" customHeight="1" x14ac:dyDescent="0.3">
      <c r="A319" s="33"/>
      <c r="B319" s="33"/>
      <c r="C319" s="33"/>
      <c r="D319" s="33"/>
      <c r="E319" s="33"/>
      <c r="F319" s="33"/>
      <c r="G319" s="33"/>
      <c r="H319" s="33"/>
    </row>
    <row r="320" spans="1:8" s="54" customFormat="1" ht="11.4" customHeight="1" x14ac:dyDescent="0.3">
      <c r="A320" s="33"/>
      <c r="B320" s="33"/>
      <c r="C320" s="33"/>
      <c r="D320" s="33"/>
      <c r="E320" s="33"/>
      <c r="F320" s="33"/>
      <c r="G320" s="33"/>
      <c r="H320" s="33"/>
    </row>
    <row r="321" spans="1:8" s="54" customFormat="1" ht="11.4" customHeight="1" x14ac:dyDescent="0.3">
      <c r="A321" s="33"/>
      <c r="B321" s="33"/>
      <c r="C321" s="33"/>
      <c r="D321" s="33"/>
      <c r="E321" s="33"/>
      <c r="F321" s="33"/>
      <c r="G321" s="33"/>
      <c r="H321" s="33"/>
    </row>
    <row r="322" spans="1:8" s="54" customFormat="1" ht="11.4" customHeight="1" x14ac:dyDescent="0.3">
      <c r="A322" s="33"/>
      <c r="B322" s="33"/>
      <c r="C322" s="33"/>
      <c r="D322" s="33"/>
      <c r="E322" s="33"/>
      <c r="F322" s="33"/>
      <c r="G322" s="33"/>
      <c r="H322" s="33"/>
    </row>
    <row r="323" spans="1:8" s="54" customFormat="1" ht="11.4" customHeight="1" x14ac:dyDescent="0.3">
      <c r="A323" s="33"/>
      <c r="B323" s="33"/>
      <c r="C323" s="33"/>
      <c r="D323" s="33"/>
      <c r="E323" s="33"/>
      <c r="F323" s="33"/>
      <c r="G323" s="33"/>
      <c r="H323" s="33"/>
    </row>
    <row r="324" spans="1:8" s="54" customFormat="1" ht="11.4" customHeight="1" x14ac:dyDescent="0.3">
      <c r="A324" s="33"/>
      <c r="B324" s="33"/>
      <c r="C324" s="33"/>
      <c r="D324" s="33"/>
      <c r="E324" s="33"/>
      <c r="F324" s="33"/>
      <c r="G324" s="33"/>
      <c r="H324" s="33"/>
    </row>
    <row r="325" spans="1:8" s="54" customFormat="1" ht="11.4" customHeight="1" x14ac:dyDescent="0.3">
      <c r="A325" s="33"/>
      <c r="B325" s="33"/>
      <c r="C325" s="33"/>
      <c r="D325" s="33"/>
      <c r="E325" s="33"/>
      <c r="F325" s="33"/>
      <c r="G325" s="33"/>
      <c r="H325" s="33"/>
    </row>
    <row r="326" spans="1:8" s="54" customFormat="1" ht="11.4" customHeight="1" x14ac:dyDescent="0.3">
      <c r="A326" s="33"/>
      <c r="B326" s="33"/>
      <c r="C326" s="33"/>
      <c r="D326" s="33"/>
      <c r="E326" s="33"/>
      <c r="F326" s="33"/>
      <c r="G326" s="33"/>
      <c r="H326" s="33"/>
    </row>
    <row r="327" spans="1:8" s="54" customFormat="1" ht="11.4" customHeight="1" x14ac:dyDescent="0.3">
      <c r="A327" s="33"/>
      <c r="B327" s="33"/>
      <c r="C327" s="33"/>
      <c r="D327" s="33"/>
      <c r="E327" s="33"/>
      <c r="F327" s="33"/>
      <c r="G327" s="33"/>
      <c r="H327" s="33"/>
    </row>
    <row r="328" spans="1:8" s="54" customFormat="1" ht="11.4" customHeight="1" x14ac:dyDescent="0.3">
      <c r="A328" s="33"/>
      <c r="B328" s="33"/>
      <c r="C328" s="33"/>
      <c r="D328" s="33"/>
      <c r="E328" s="33"/>
      <c r="F328" s="33"/>
      <c r="G328" s="33"/>
      <c r="H328" s="33"/>
    </row>
    <row r="329" spans="1:8" s="54" customFormat="1" ht="11.4" customHeight="1" x14ac:dyDescent="0.3">
      <c r="A329" s="33"/>
      <c r="B329" s="33"/>
      <c r="C329" s="33"/>
      <c r="D329" s="33"/>
      <c r="E329" s="33"/>
      <c r="F329" s="33"/>
      <c r="G329" s="33"/>
      <c r="H329" s="33"/>
    </row>
    <row r="330" spans="1:8" s="54" customFormat="1" ht="11.4" customHeight="1" x14ac:dyDescent="0.3">
      <c r="A330" s="33"/>
      <c r="B330" s="33"/>
      <c r="C330" s="33"/>
      <c r="D330" s="33"/>
      <c r="E330" s="33"/>
      <c r="F330" s="33"/>
      <c r="G330" s="33"/>
      <c r="H330" s="33"/>
    </row>
    <row r="331" spans="1:8" s="54" customFormat="1" ht="11.4" customHeight="1" x14ac:dyDescent="0.3">
      <c r="A331" s="33"/>
      <c r="B331" s="33"/>
      <c r="C331" s="33"/>
      <c r="D331" s="33"/>
      <c r="E331" s="33"/>
      <c r="F331" s="33"/>
      <c r="G331" s="33"/>
      <c r="H331" s="33"/>
    </row>
    <row r="332" spans="1:8" s="54" customFormat="1" ht="11.4" customHeight="1" x14ac:dyDescent="0.3">
      <c r="A332" s="33"/>
      <c r="B332" s="33"/>
      <c r="C332" s="33"/>
      <c r="D332" s="33"/>
      <c r="E332" s="33"/>
      <c r="F332" s="33"/>
      <c r="G332" s="33"/>
      <c r="H332" s="33"/>
    </row>
    <row r="333" spans="1:8" s="54" customFormat="1" ht="11.4" customHeight="1" x14ac:dyDescent="0.3">
      <c r="A333" s="33"/>
      <c r="B333" s="33"/>
      <c r="C333" s="33"/>
      <c r="D333" s="33"/>
      <c r="E333" s="33"/>
      <c r="F333" s="33"/>
      <c r="G333" s="33"/>
      <c r="H333" s="33"/>
    </row>
    <row r="334" spans="1:8" s="54" customFormat="1" ht="11.4" customHeight="1" x14ac:dyDescent="0.3">
      <c r="A334" s="33"/>
      <c r="B334" s="33"/>
      <c r="C334" s="33"/>
      <c r="D334" s="33"/>
      <c r="E334" s="33"/>
      <c r="F334" s="33"/>
      <c r="G334" s="33"/>
      <c r="H334" s="33"/>
    </row>
    <row r="335" spans="1:8" s="54" customFormat="1" ht="11.4" customHeight="1" x14ac:dyDescent="0.3">
      <c r="A335" s="33"/>
      <c r="B335" s="33"/>
      <c r="C335" s="33"/>
      <c r="D335" s="33"/>
      <c r="E335" s="33"/>
      <c r="F335" s="33"/>
      <c r="G335" s="33"/>
      <c r="H335" s="33"/>
    </row>
    <row r="336" spans="1:8" s="54" customFormat="1" ht="11.4" customHeight="1" x14ac:dyDescent="0.3">
      <c r="A336" s="33"/>
      <c r="B336" s="33"/>
      <c r="C336" s="33"/>
      <c r="D336" s="33"/>
      <c r="E336" s="33"/>
      <c r="F336" s="33"/>
      <c r="G336" s="33"/>
      <c r="H336" s="33"/>
    </row>
    <row r="337" spans="1:8" s="54" customFormat="1" ht="11.4" customHeight="1" x14ac:dyDescent="0.3">
      <c r="A337" s="33"/>
      <c r="B337" s="33"/>
      <c r="C337" s="33"/>
      <c r="D337" s="33"/>
      <c r="E337" s="33"/>
      <c r="F337" s="33"/>
      <c r="G337" s="33"/>
      <c r="H337" s="33"/>
    </row>
    <row r="338" spans="1:8" s="54" customFormat="1" ht="11.4" customHeight="1" x14ac:dyDescent="0.3">
      <c r="A338" s="33"/>
      <c r="B338" s="33"/>
      <c r="C338" s="33"/>
      <c r="D338" s="33"/>
      <c r="E338" s="33"/>
      <c r="F338" s="33"/>
      <c r="G338" s="33"/>
      <c r="H338" s="33"/>
    </row>
    <row r="339" spans="1:8" s="54" customFormat="1" ht="11.4" customHeight="1" x14ac:dyDescent="0.3">
      <c r="A339" s="33"/>
      <c r="B339" s="33"/>
      <c r="C339" s="33"/>
      <c r="D339" s="33"/>
      <c r="E339" s="33"/>
      <c r="F339" s="33"/>
      <c r="G339" s="33"/>
      <c r="H339" s="33"/>
    </row>
    <row r="340" spans="1:8" s="54" customFormat="1" ht="11.4" customHeight="1" x14ac:dyDescent="0.3">
      <c r="A340" s="33"/>
      <c r="B340" s="33"/>
      <c r="C340" s="33"/>
      <c r="D340" s="33"/>
      <c r="E340" s="33"/>
      <c r="F340" s="33"/>
      <c r="G340" s="33"/>
      <c r="H340" s="33"/>
    </row>
    <row r="341" spans="1:8" s="54" customFormat="1" ht="11.4" customHeight="1" x14ac:dyDescent="0.3">
      <c r="A341" s="33"/>
      <c r="B341" s="33"/>
      <c r="C341" s="33"/>
      <c r="D341" s="33"/>
      <c r="E341" s="33"/>
      <c r="F341" s="33"/>
      <c r="G341" s="33"/>
      <c r="H341" s="33"/>
    </row>
    <row r="342" spans="1:8" s="54" customFormat="1" ht="11.4" customHeight="1" x14ac:dyDescent="0.3">
      <c r="A342" s="33"/>
      <c r="B342" s="33"/>
      <c r="C342" s="33"/>
      <c r="D342" s="33"/>
      <c r="E342" s="33"/>
      <c r="F342" s="33"/>
      <c r="G342" s="33"/>
      <c r="H342" s="33"/>
    </row>
    <row r="343" spans="1:8" s="54" customFormat="1" ht="11.4" customHeight="1" x14ac:dyDescent="0.3">
      <c r="A343" s="33"/>
      <c r="B343" s="33"/>
      <c r="C343" s="33"/>
      <c r="D343" s="33"/>
      <c r="E343" s="33"/>
      <c r="F343" s="33"/>
      <c r="G343" s="33"/>
      <c r="H343" s="33"/>
    </row>
    <row r="344" spans="1:8" s="54" customFormat="1" ht="11.4" customHeight="1" x14ac:dyDescent="0.3">
      <c r="A344" s="33"/>
      <c r="B344" s="33"/>
      <c r="C344" s="33"/>
      <c r="D344" s="33"/>
      <c r="E344" s="33"/>
      <c r="F344" s="33"/>
      <c r="G344" s="33"/>
      <c r="H344" s="33"/>
    </row>
    <row r="345" spans="1:8" s="54" customFormat="1" ht="11.4" customHeight="1" x14ac:dyDescent="0.3">
      <c r="A345" s="33"/>
      <c r="B345" s="33"/>
      <c r="C345" s="33"/>
      <c r="D345" s="33"/>
      <c r="E345" s="33"/>
      <c r="F345" s="33"/>
      <c r="G345" s="33"/>
      <c r="H345" s="33"/>
    </row>
    <row r="346" spans="1:8" s="54" customFormat="1" ht="11.4" customHeight="1" x14ac:dyDescent="0.3">
      <c r="A346" s="33"/>
      <c r="B346" s="33"/>
      <c r="C346" s="33"/>
      <c r="D346" s="33"/>
      <c r="E346" s="33"/>
      <c r="F346" s="33"/>
      <c r="G346" s="33"/>
      <c r="H346" s="33"/>
    </row>
    <row r="347" spans="1:8" s="54" customFormat="1" ht="11.4" customHeight="1" x14ac:dyDescent="0.3">
      <c r="A347" s="33"/>
      <c r="B347" s="33"/>
      <c r="C347" s="33"/>
      <c r="D347" s="33"/>
      <c r="E347" s="33"/>
      <c r="F347" s="33"/>
      <c r="G347" s="33"/>
      <c r="H347" s="33"/>
    </row>
    <row r="348" spans="1:8" s="54" customFormat="1" ht="11.4" customHeight="1" x14ac:dyDescent="0.3">
      <c r="A348" s="33"/>
      <c r="B348" s="33"/>
      <c r="C348" s="33"/>
      <c r="D348" s="33"/>
      <c r="E348" s="33"/>
      <c r="F348" s="33"/>
      <c r="G348" s="33"/>
      <c r="H348" s="33"/>
    </row>
    <row r="349" spans="1:8" s="54" customFormat="1" ht="11.4" customHeight="1" x14ac:dyDescent="0.3">
      <c r="A349" s="33"/>
      <c r="B349" s="33"/>
      <c r="C349" s="33"/>
      <c r="D349" s="33"/>
      <c r="E349" s="33"/>
      <c r="F349" s="33"/>
      <c r="G349" s="33"/>
      <c r="H349" s="33"/>
    </row>
    <row r="350" spans="1:8" s="54" customFormat="1" ht="11.4" customHeight="1" x14ac:dyDescent="0.3">
      <c r="A350" s="33"/>
      <c r="B350" s="33"/>
      <c r="C350" s="33"/>
      <c r="D350" s="33"/>
      <c r="E350" s="33"/>
      <c r="F350" s="33"/>
      <c r="G350" s="33"/>
      <c r="H350" s="33"/>
    </row>
    <row r="351" spans="1:8" s="54" customFormat="1" ht="11.4" customHeight="1" x14ac:dyDescent="0.3">
      <c r="A351" s="33"/>
      <c r="B351" s="33"/>
      <c r="C351" s="33"/>
      <c r="D351" s="33"/>
      <c r="E351" s="33"/>
      <c r="F351" s="33"/>
      <c r="G351" s="33"/>
      <c r="H351" s="33"/>
    </row>
    <row r="352" spans="1:8" s="54" customFormat="1" ht="11.4" customHeight="1" x14ac:dyDescent="0.3">
      <c r="A352" s="33"/>
      <c r="B352" s="33"/>
      <c r="C352" s="33"/>
      <c r="D352" s="33"/>
      <c r="E352" s="33"/>
      <c r="F352" s="33"/>
      <c r="G352" s="33"/>
      <c r="H352" s="33"/>
    </row>
    <row r="353" spans="1:8" s="54" customFormat="1" ht="11.4" customHeight="1" x14ac:dyDescent="0.3">
      <c r="A353" s="33"/>
      <c r="B353" s="33"/>
      <c r="C353" s="33"/>
      <c r="D353" s="33"/>
      <c r="E353" s="33"/>
      <c r="F353" s="33"/>
      <c r="G353" s="33"/>
      <c r="H353" s="33"/>
    </row>
    <row r="354" spans="1:8" s="54" customFormat="1" ht="11.4" customHeight="1" x14ac:dyDescent="0.3">
      <c r="A354" s="33"/>
      <c r="B354" s="33"/>
      <c r="C354" s="33"/>
      <c r="D354" s="33"/>
      <c r="E354" s="33"/>
      <c r="F354" s="33"/>
      <c r="G354" s="33"/>
      <c r="H354" s="33"/>
    </row>
    <row r="355" spans="1:8" s="54" customFormat="1" ht="11.4" customHeight="1" x14ac:dyDescent="0.3">
      <c r="A355" s="33"/>
      <c r="B355" s="33"/>
      <c r="C355" s="33"/>
      <c r="D355" s="33"/>
      <c r="E355" s="33"/>
      <c r="F355" s="33"/>
      <c r="G355" s="33"/>
      <c r="H355" s="33"/>
    </row>
    <row r="356" spans="1:8" s="54" customFormat="1" ht="11.4" customHeight="1" x14ac:dyDescent="0.3">
      <c r="A356" s="33"/>
      <c r="B356" s="33"/>
      <c r="C356" s="33"/>
      <c r="D356" s="33"/>
      <c r="E356" s="33"/>
      <c r="F356" s="33"/>
      <c r="G356" s="33"/>
      <c r="H356" s="33"/>
    </row>
    <row r="357" spans="1:8" s="54" customFormat="1" ht="11.4" customHeight="1" x14ac:dyDescent="0.3">
      <c r="A357" s="33"/>
      <c r="B357" s="33"/>
      <c r="C357" s="33"/>
      <c r="D357" s="33"/>
      <c r="E357" s="33"/>
      <c r="F357" s="33"/>
      <c r="G357" s="33"/>
      <c r="H357" s="33"/>
    </row>
    <row r="358" spans="1:8" s="54" customFormat="1" ht="11.4" customHeight="1" x14ac:dyDescent="0.3">
      <c r="A358" s="33"/>
      <c r="B358" s="33"/>
      <c r="C358" s="33"/>
      <c r="D358" s="33"/>
      <c r="E358" s="33"/>
      <c r="F358" s="33"/>
      <c r="G358" s="33"/>
      <c r="H358" s="33"/>
    </row>
    <row r="359" spans="1:8" s="54" customFormat="1" ht="11.4" customHeight="1" x14ac:dyDescent="0.3">
      <c r="A359" s="33"/>
      <c r="B359" s="33"/>
      <c r="C359" s="33"/>
      <c r="D359" s="33"/>
      <c r="E359" s="33"/>
      <c r="F359" s="33"/>
      <c r="G359" s="33"/>
      <c r="H359" s="33"/>
    </row>
    <row r="360" spans="1:8" s="54" customFormat="1" ht="11.4" customHeight="1" x14ac:dyDescent="0.3">
      <c r="A360" s="33"/>
      <c r="B360" s="33"/>
      <c r="C360" s="33"/>
      <c r="D360" s="33"/>
      <c r="E360" s="33"/>
      <c r="F360" s="33"/>
      <c r="G360" s="33"/>
      <c r="H360" s="33"/>
    </row>
    <row r="361" spans="1:8" s="54" customFormat="1" ht="11.4" customHeight="1" x14ac:dyDescent="0.3">
      <c r="A361" s="33"/>
      <c r="B361" s="33"/>
      <c r="C361" s="33"/>
      <c r="D361" s="33"/>
      <c r="E361" s="33"/>
      <c r="F361" s="33"/>
      <c r="G361" s="33"/>
      <c r="H361" s="33"/>
    </row>
    <row r="362" spans="1:8" s="54" customFormat="1" ht="11.4" customHeight="1" x14ac:dyDescent="0.3">
      <c r="A362" s="33"/>
      <c r="B362" s="33"/>
      <c r="C362" s="33"/>
      <c r="D362" s="33"/>
      <c r="E362" s="33"/>
      <c r="F362" s="33"/>
      <c r="G362" s="33"/>
      <c r="H362" s="33"/>
    </row>
    <row r="363" spans="1:8" s="54" customFormat="1" ht="11.4" customHeight="1" x14ac:dyDescent="0.3">
      <c r="A363" s="33"/>
      <c r="B363" s="33"/>
      <c r="C363" s="33"/>
      <c r="D363" s="33"/>
      <c r="E363" s="33"/>
      <c r="F363" s="33"/>
      <c r="G363" s="33"/>
      <c r="H363" s="33"/>
    </row>
    <row r="364" spans="1:8" s="54" customFormat="1" ht="11.4" customHeight="1" x14ac:dyDescent="0.3">
      <c r="A364" s="33"/>
      <c r="B364" s="33"/>
      <c r="C364" s="33"/>
      <c r="D364" s="33"/>
      <c r="E364" s="33"/>
      <c r="F364" s="33"/>
      <c r="G364" s="33"/>
      <c r="H364" s="33"/>
    </row>
    <row r="365" spans="1:8" s="54" customFormat="1" ht="11.4" customHeight="1" x14ac:dyDescent="0.3">
      <c r="A365" s="33"/>
      <c r="B365" s="33"/>
      <c r="C365" s="33"/>
      <c r="D365" s="33"/>
      <c r="E365" s="33"/>
      <c r="F365" s="33"/>
      <c r="G365" s="33"/>
      <c r="H365" s="33"/>
    </row>
    <row r="366" spans="1:8" s="54" customFormat="1" ht="11.4" customHeight="1" x14ac:dyDescent="0.3">
      <c r="A366" s="33"/>
      <c r="B366" s="33"/>
      <c r="C366" s="33"/>
      <c r="D366" s="33"/>
      <c r="E366" s="33"/>
      <c r="F366" s="33"/>
      <c r="G366" s="33"/>
      <c r="H366" s="33"/>
    </row>
    <row r="367" spans="1:8" s="54" customFormat="1" ht="11.4" customHeight="1" x14ac:dyDescent="0.3">
      <c r="A367" s="33"/>
      <c r="B367" s="33"/>
      <c r="C367" s="33"/>
      <c r="D367" s="33"/>
      <c r="E367" s="33"/>
      <c r="F367" s="33"/>
      <c r="G367" s="33"/>
      <c r="H367" s="33"/>
    </row>
    <row r="368" spans="1:8" s="54" customFormat="1" ht="11.4" customHeight="1" x14ac:dyDescent="0.3">
      <c r="A368" s="33"/>
      <c r="B368" s="33"/>
      <c r="C368" s="33"/>
      <c r="D368" s="33"/>
      <c r="E368" s="33"/>
      <c r="F368" s="33"/>
      <c r="G368" s="33"/>
      <c r="H368" s="33"/>
    </row>
    <row r="369" spans="1:8" s="54" customFormat="1" ht="11.4" customHeight="1" x14ac:dyDescent="0.3">
      <c r="A369" s="33"/>
      <c r="B369" s="33"/>
      <c r="C369" s="33"/>
      <c r="D369" s="33"/>
      <c r="E369" s="33"/>
      <c r="F369" s="33"/>
      <c r="G369" s="33"/>
      <c r="H369" s="33"/>
    </row>
    <row r="370" spans="1:8" s="54" customFormat="1" ht="11.4" customHeight="1" x14ac:dyDescent="0.3">
      <c r="A370" s="33"/>
      <c r="B370" s="33"/>
      <c r="C370" s="33"/>
      <c r="D370" s="33"/>
      <c r="E370" s="33"/>
      <c r="F370" s="33"/>
      <c r="G370" s="33"/>
      <c r="H370" s="33"/>
    </row>
    <row r="371" spans="1:8" s="54" customFormat="1" ht="11.4" customHeight="1" x14ac:dyDescent="0.3">
      <c r="A371" s="33"/>
      <c r="B371" s="33"/>
      <c r="C371" s="33"/>
      <c r="D371" s="33"/>
      <c r="E371" s="33"/>
      <c r="F371" s="33"/>
      <c r="G371" s="33"/>
      <c r="H371" s="33"/>
    </row>
    <row r="372" spans="1:8" s="54" customFormat="1" ht="11.4" customHeight="1" x14ac:dyDescent="0.3">
      <c r="A372" s="33"/>
      <c r="B372" s="33"/>
      <c r="C372" s="33"/>
      <c r="D372" s="33"/>
      <c r="E372" s="33"/>
      <c r="F372" s="33"/>
      <c r="G372" s="33"/>
      <c r="H372" s="33"/>
    </row>
    <row r="373" spans="1:8" s="54" customFormat="1" ht="11.4" customHeight="1" x14ac:dyDescent="0.3">
      <c r="A373" s="33"/>
      <c r="B373" s="33"/>
      <c r="C373" s="33"/>
      <c r="D373" s="33"/>
      <c r="E373" s="33"/>
      <c r="F373" s="33"/>
      <c r="G373" s="33"/>
      <c r="H373" s="33"/>
    </row>
    <row r="374" spans="1:8" s="54" customFormat="1" ht="11.4" customHeight="1" x14ac:dyDescent="0.3">
      <c r="A374" s="33"/>
      <c r="B374" s="33"/>
      <c r="C374" s="33"/>
      <c r="D374" s="33"/>
      <c r="E374" s="33"/>
      <c r="F374" s="33"/>
      <c r="G374" s="33"/>
      <c r="H374" s="33"/>
    </row>
    <row r="375" spans="1:8" s="54" customFormat="1" ht="11.4" customHeight="1" x14ac:dyDescent="0.3">
      <c r="A375" s="33"/>
      <c r="B375" s="33"/>
      <c r="C375" s="33"/>
      <c r="D375" s="33"/>
      <c r="E375" s="33"/>
      <c r="F375" s="33"/>
      <c r="G375" s="33"/>
      <c r="H375" s="33"/>
    </row>
    <row r="376" spans="1:8" s="54" customFormat="1" ht="11.4" customHeight="1" x14ac:dyDescent="0.3">
      <c r="A376" s="33"/>
      <c r="B376" s="33"/>
      <c r="C376" s="33"/>
      <c r="D376" s="33"/>
      <c r="E376" s="33"/>
      <c r="F376" s="33"/>
      <c r="G376" s="33"/>
      <c r="H376" s="33"/>
    </row>
    <row r="377" spans="1:8" s="54" customFormat="1" ht="11.4" customHeight="1" x14ac:dyDescent="0.3">
      <c r="A377" s="33"/>
      <c r="B377" s="33"/>
      <c r="C377" s="33"/>
      <c r="D377" s="33"/>
      <c r="E377" s="33"/>
      <c r="F377" s="33"/>
      <c r="G377" s="33"/>
      <c r="H377" s="33"/>
    </row>
    <row r="378" spans="1:8" s="54" customFormat="1" ht="11.4" customHeight="1" x14ac:dyDescent="0.3">
      <c r="A378" s="33"/>
      <c r="B378" s="33"/>
      <c r="C378" s="33"/>
      <c r="D378" s="33"/>
      <c r="E378" s="33"/>
      <c r="F378" s="33"/>
      <c r="G378" s="33"/>
      <c r="H378" s="33"/>
    </row>
    <row r="379" spans="1:8" s="54" customFormat="1" ht="11.4" customHeight="1" x14ac:dyDescent="0.3">
      <c r="A379" s="33"/>
      <c r="B379" s="33"/>
      <c r="C379" s="33"/>
      <c r="D379" s="33"/>
      <c r="E379" s="33"/>
      <c r="F379" s="33"/>
      <c r="G379" s="33"/>
      <c r="H379" s="33"/>
    </row>
    <row r="380" spans="1:8" s="54" customFormat="1" ht="11.4" customHeight="1" x14ac:dyDescent="0.3">
      <c r="A380" s="33"/>
      <c r="B380" s="33"/>
      <c r="C380" s="33"/>
      <c r="D380" s="33"/>
      <c r="E380" s="33"/>
      <c r="F380" s="33"/>
      <c r="G380" s="33"/>
      <c r="H380" s="33"/>
    </row>
    <row r="381" spans="1:8" s="54" customFormat="1" ht="11.4" customHeight="1" x14ac:dyDescent="0.3">
      <c r="A381" s="33"/>
      <c r="B381" s="33"/>
      <c r="C381" s="33"/>
      <c r="D381" s="33"/>
      <c r="E381" s="33"/>
      <c r="F381" s="33"/>
      <c r="G381" s="33"/>
      <c r="H381" s="33"/>
    </row>
    <row r="382" spans="1:8" s="54" customFormat="1" ht="11.4" customHeight="1" x14ac:dyDescent="0.3">
      <c r="A382" s="33"/>
      <c r="B382" s="33"/>
      <c r="C382" s="33"/>
      <c r="D382" s="33"/>
      <c r="E382" s="33"/>
      <c r="F382" s="33"/>
      <c r="G382" s="33"/>
      <c r="H382" s="33"/>
    </row>
    <row r="383" spans="1:8" s="54" customFormat="1" ht="11.4" customHeight="1" x14ac:dyDescent="0.3">
      <c r="A383" s="33"/>
      <c r="B383" s="33"/>
      <c r="C383" s="33"/>
      <c r="D383" s="33"/>
      <c r="E383" s="33"/>
      <c r="F383" s="33"/>
      <c r="G383" s="33"/>
      <c r="H383" s="33"/>
    </row>
    <row r="384" spans="1:8" s="54" customFormat="1" ht="11.4" customHeight="1" x14ac:dyDescent="0.3">
      <c r="A384" s="33"/>
      <c r="B384" s="33"/>
      <c r="C384" s="33"/>
      <c r="D384" s="33"/>
      <c r="E384" s="33"/>
      <c r="F384" s="33"/>
      <c r="G384" s="33"/>
      <c r="H384" s="33"/>
    </row>
    <row r="385" spans="1:8" s="54" customFormat="1" ht="11.4" customHeight="1" x14ac:dyDescent="0.3">
      <c r="A385" s="33"/>
      <c r="B385" s="33"/>
      <c r="C385" s="33"/>
      <c r="D385" s="33"/>
      <c r="E385" s="33"/>
      <c r="F385" s="33"/>
      <c r="G385" s="33"/>
      <c r="H385" s="33"/>
    </row>
    <row r="386" spans="1:8" s="54" customFormat="1" ht="11.4" customHeight="1" x14ac:dyDescent="0.3">
      <c r="A386" s="33"/>
      <c r="B386" s="33"/>
      <c r="C386" s="33"/>
      <c r="D386" s="33"/>
      <c r="E386" s="33"/>
      <c r="F386" s="33"/>
      <c r="G386" s="33"/>
      <c r="H386" s="33"/>
    </row>
    <row r="387" spans="1:8" s="54" customFormat="1" ht="11.4" customHeight="1" x14ac:dyDescent="0.3">
      <c r="A387" s="33"/>
      <c r="B387" s="33"/>
      <c r="C387" s="33"/>
      <c r="D387" s="33"/>
      <c r="E387" s="33"/>
      <c r="F387" s="33"/>
      <c r="G387" s="33"/>
      <c r="H387" s="33"/>
    </row>
    <row r="388" spans="1:8" s="54" customFormat="1" ht="11.4" customHeight="1" x14ac:dyDescent="0.3">
      <c r="A388" s="33"/>
      <c r="B388" s="33"/>
      <c r="C388" s="33"/>
      <c r="D388" s="33"/>
      <c r="E388" s="33"/>
      <c r="F388" s="33"/>
      <c r="G388" s="33"/>
      <c r="H388" s="33"/>
    </row>
    <row r="389" spans="1:8" s="54" customFormat="1" ht="11.4" customHeight="1" x14ac:dyDescent="0.3">
      <c r="A389" s="33"/>
      <c r="B389" s="33"/>
      <c r="C389" s="33"/>
      <c r="D389" s="33"/>
      <c r="E389" s="33"/>
      <c r="F389" s="33"/>
      <c r="G389" s="33"/>
      <c r="H389" s="33"/>
    </row>
    <row r="390" spans="1:8" s="54" customFormat="1" ht="11.4" customHeight="1" x14ac:dyDescent="0.3">
      <c r="A390" s="33"/>
      <c r="B390" s="33"/>
      <c r="C390" s="33"/>
      <c r="D390" s="33"/>
      <c r="E390" s="33"/>
      <c r="F390" s="33"/>
      <c r="G390" s="33"/>
      <c r="H390" s="33"/>
    </row>
    <row r="391" spans="1:8" s="54" customFormat="1" ht="11.4" customHeight="1" x14ac:dyDescent="0.3">
      <c r="A391" s="33"/>
      <c r="B391" s="33"/>
      <c r="C391" s="33"/>
      <c r="D391" s="33"/>
      <c r="E391" s="33"/>
      <c r="F391" s="33"/>
      <c r="G391" s="33"/>
      <c r="H391" s="33"/>
    </row>
    <row r="392" spans="1:8" s="54" customFormat="1" ht="11.4" customHeight="1" x14ac:dyDescent="0.3">
      <c r="A392" s="33"/>
      <c r="B392" s="33"/>
      <c r="C392" s="33"/>
      <c r="D392" s="33"/>
      <c r="E392" s="33"/>
      <c r="F392" s="33"/>
      <c r="G392" s="33"/>
      <c r="H392" s="33"/>
    </row>
    <row r="393" spans="1:8" s="54" customFormat="1" ht="11.4" customHeight="1" x14ac:dyDescent="0.3">
      <c r="A393" s="33"/>
      <c r="B393" s="33"/>
      <c r="C393" s="33"/>
      <c r="D393" s="33"/>
      <c r="E393" s="33"/>
      <c r="F393" s="33"/>
      <c r="G393" s="33"/>
      <c r="H393" s="33"/>
    </row>
    <row r="394" spans="1:8" s="54" customFormat="1" ht="11.4" customHeight="1" x14ac:dyDescent="0.3">
      <c r="A394" s="33"/>
      <c r="B394" s="33"/>
      <c r="C394" s="33"/>
      <c r="D394" s="33"/>
      <c r="E394" s="33"/>
      <c r="F394" s="33"/>
      <c r="G394" s="33"/>
      <c r="H394" s="33"/>
    </row>
    <row r="395" spans="1:8" s="54" customFormat="1" ht="11.4" customHeight="1" x14ac:dyDescent="0.3">
      <c r="A395" s="33"/>
      <c r="B395" s="33"/>
      <c r="C395" s="33"/>
      <c r="D395" s="33"/>
      <c r="E395" s="33"/>
      <c r="F395" s="33"/>
      <c r="G395" s="33"/>
      <c r="H395" s="33"/>
    </row>
    <row r="396" spans="1:8" s="54" customFormat="1" ht="11.4" customHeight="1" x14ac:dyDescent="0.3">
      <c r="A396" s="33"/>
      <c r="B396" s="33"/>
      <c r="C396" s="33"/>
      <c r="D396" s="33"/>
      <c r="E396" s="33"/>
      <c r="F396" s="33"/>
      <c r="G396" s="33"/>
      <c r="H396" s="33"/>
    </row>
    <row r="397" spans="1:8" s="54" customFormat="1" ht="11.4" customHeight="1" x14ac:dyDescent="0.3">
      <c r="A397" s="33"/>
      <c r="B397" s="33"/>
      <c r="C397" s="33"/>
      <c r="D397" s="33"/>
      <c r="E397" s="33"/>
      <c r="F397" s="33"/>
      <c r="G397" s="33"/>
      <c r="H397" s="33"/>
    </row>
    <row r="398" spans="1:8" s="54" customFormat="1" ht="11.4" customHeight="1" x14ac:dyDescent="0.3">
      <c r="A398" s="33"/>
      <c r="B398" s="33"/>
      <c r="C398" s="33"/>
      <c r="D398" s="33"/>
      <c r="E398" s="33"/>
      <c r="F398" s="33"/>
      <c r="G398" s="33"/>
      <c r="H398" s="33"/>
    </row>
    <row r="399" spans="1:8" s="54" customFormat="1" ht="11.4" customHeight="1" x14ac:dyDescent="0.3">
      <c r="A399" s="33"/>
      <c r="B399" s="33"/>
      <c r="C399" s="33"/>
      <c r="D399" s="33"/>
      <c r="E399" s="33"/>
      <c r="F399" s="33"/>
      <c r="G399" s="33"/>
      <c r="H399" s="33"/>
    </row>
    <row r="400" spans="1:8" s="54" customFormat="1" ht="11.4" customHeight="1" x14ac:dyDescent="0.3">
      <c r="A400" s="33"/>
      <c r="B400" s="33"/>
      <c r="C400" s="33"/>
      <c r="D400" s="33"/>
      <c r="E400" s="33"/>
      <c r="F400" s="33"/>
      <c r="G400" s="33"/>
      <c r="H400" s="33"/>
    </row>
    <row r="401" spans="1:8" s="54" customFormat="1" ht="11.4" customHeight="1" x14ac:dyDescent="0.3">
      <c r="A401" s="33"/>
      <c r="B401" s="33"/>
      <c r="C401" s="33"/>
      <c r="D401" s="33"/>
      <c r="E401" s="33"/>
      <c r="F401" s="33"/>
      <c r="G401" s="33"/>
      <c r="H401" s="33"/>
    </row>
    <row r="402" spans="1:8" s="54" customFormat="1" ht="11.4" customHeight="1" x14ac:dyDescent="0.3">
      <c r="A402" s="33"/>
      <c r="B402" s="33"/>
      <c r="C402" s="33"/>
      <c r="D402" s="33"/>
      <c r="E402" s="33"/>
      <c r="F402" s="33"/>
      <c r="G402" s="33"/>
      <c r="H402" s="33"/>
    </row>
    <row r="403" spans="1:8" s="54" customFormat="1" ht="11.4" customHeight="1" x14ac:dyDescent="0.3">
      <c r="A403" s="33"/>
      <c r="B403" s="33"/>
      <c r="C403" s="33"/>
      <c r="D403" s="33"/>
      <c r="E403" s="33"/>
      <c r="F403" s="33"/>
      <c r="G403" s="33"/>
      <c r="H403" s="33"/>
    </row>
    <row r="404" spans="1:8" s="54" customFormat="1" ht="11.4" customHeight="1" x14ac:dyDescent="0.3">
      <c r="A404" s="33"/>
      <c r="B404" s="33"/>
      <c r="C404" s="33"/>
      <c r="D404" s="33"/>
      <c r="E404" s="33"/>
      <c r="F404" s="33"/>
      <c r="G404" s="33"/>
      <c r="H404" s="33"/>
    </row>
    <row r="405" spans="1:8" s="54" customFormat="1" ht="11.4" customHeight="1" x14ac:dyDescent="0.3">
      <c r="A405" s="33"/>
      <c r="B405" s="33"/>
      <c r="C405" s="33"/>
      <c r="D405" s="33"/>
      <c r="E405" s="33"/>
      <c r="F405" s="33"/>
      <c r="G405" s="33"/>
      <c r="H405" s="33"/>
    </row>
    <row r="406" spans="1:8" s="54" customFormat="1" ht="11.4" customHeight="1" x14ac:dyDescent="0.3">
      <c r="A406" s="33"/>
      <c r="B406" s="33"/>
      <c r="C406" s="33"/>
      <c r="D406" s="33"/>
      <c r="E406" s="33"/>
      <c r="F406" s="33"/>
      <c r="G406" s="33"/>
      <c r="H406" s="33"/>
    </row>
    <row r="407" spans="1:8" s="54" customFormat="1" ht="11.4" customHeight="1" x14ac:dyDescent="0.3">
      <c r="A407" s="33"/>
      <c r="B407" s="33"/>
      <c r="C407" s="33"/>
      <c r="D407" s="33"/>
      <c r="E407" s="33"/>
      <c r="F407" s="33"/>
      <c r="G407" s="33"/>
      <c r="H407" s="33"/>
    </row>
    <row r="408" spans="1:8" s="54" customFormat="1" ht="11.4" customHeight="1" x14ac:dyDescent="0.3">
      <c r="A408" s="33"/>
      <c r="B408" s="33"/>
      <c r="C408" s="33"/>
      <c r="D408" s="33"/>
      <c r="E408" s="33"/>
      <c r="F408" s="33"/>
      <c r="G408" s="33"/>
      <c r="H408" s="33"/>
    </row>
    <row r="409" spans="1:8" s="54" customFormat="1" ht="11.4" customHeight="1" x14ac:dyDescent="0.3">
      <c r="A409" s="33"/>
      <c r="B409" s="33"/>
      <c r="C409" s="33"/>
      <c r="D409" s="33"/>
      <c r="E409" s="33"/>
      <c r="F409" s="33"/>
      <c r="G409" s="33"/>
      <c r="H409" s="33"/>
    </row>
    <row r="410" spans="1:8" s="54" customFormat="1" ht="11.4" customHeight="1" x14ac:dyDescent="0.3">
      <c r="A410" s="33"/>
      <c r="B410" s="33"/>
      <c r="C410" s="33"/>
      <c r="D410" s="33"/>
      <c r="E410" s="33"/>
      <c r="F410" s="33"/>
      <c r="G410" s="33"/>
      <c r="H410" s="33"/>
    </row>
    <row r="411" spans="1:8" s="54" customFormat="1" ht="11.4" customHeight="1" x14ac:dyDescent="0.3">
      <c r="A411" s="33"/>
      <c r="B411" s="33"/>
      <c r="C411" s="33"/>
      <c r="D411" s="33"/>
      <c r="E411" s="33"/>
      <c r="F411" s="33"/>
      <c r="G411" s="33"/>
      <c r="H411" s="33"/>
    </row>
    <row r="412" spans="1:8" s="54" customFormat="1" ht="11.4" customHeight="1" x14ac:dyDescent="0.3">
      <c r="A412" s="33"/>
      <c r="B412" s="33"/>
      <c r="C412" s="33"/>
      <c r="D412" s="33"/>
      <c r="E412" s="33"/>
      <c r="F412" s="33"/>
      <c r="G412" s="33"/>
      <c r="H412" s="33"/>
    </row>
    <row r="413" spans="1:8" s="54" customFormat="1" ht="11.4" customHeight="1" x14ac:dyDescent="0.3">
      <c r="A413" s="33"/>
      <c r="B413" s="33"/>
      <c r="C413" s="33"/>
      <c r="D413" s="33"/>
      <c r="E413" s="33"/>
      <c r="F413" s="33"/>
      <c r="G413" s="33"/>
      <c r="H413" s="33"/>
    </row>
    <row r="414" spans="1:8" s="54" customFormat="1" ht="11.4" customHeight="1" x14ac:dyDescent="0.3">
      <c r="A414" s="33"/>
      <c r="B414" s="33"/>
      <c r="C414" s="33"/>
      <c r="D414" s="33"/>
      <c r="E414" s="33"/>
      <c r="F414" s="33"/>
      <c r="G414" s="33"/>
      <c r="H414" s="33"/>
    </row>
    <row r="415" spans="1:8" s="54" customFormat="1" ht="11.4" customHeight="1" x14ac:dyDescent="0.3">
      <c r="A415" s="33"/>
      <c r="B415" s="33"/>
      <c r="C415" s="33"/>
      <c r="D415" s="33"/>
      <c r="E415" s="33"/>
      <c r="F415" s="33"/>
      <c r="G415" s="33"/>
      <c r="H415" s="33"/>
    </row>
    <row r="416" spans="1:8" s="54" customFormat="1" ht="11.4" customHeight="1" x14ac:dyDescent="0.3">
      <c r="A416" s="33"/>
      <c r="B416" s="33"/>
      <c r="C416" s="33"/>
      <c r="D416" s="33"/>
      <c r="E416" s="33"/>
      <c r="F416" s="33"/>
      <c r="G416" s="33"/>
      <c r="H416" s="33"/>
    </row>
    <row r="417" spans="1:8" s="54" customFormat="1" ht="11.4" customHeight="1" x14ac:dyDescent="0.3">
      <c r="A417" s="33"/>
      <c r="B417" s="33"/>
      <c r="C417" s="33"/>
      <c r="D417" s="33"/>
      <c r="E417" s="33"/>
      <c r="F417" s="33"/>
      <c r="G417" s="33"/>
      <c r="H417" s="33"/>
    </row>
    <row r="418" spans="1:8" s="54" customFormat="1" ht="11.4" customHeight="1" x14ac:dyDescent="0.3">
      <c r="A418" s="33"/>
      <c r="B418" s="33"/>
      <c r="C418" s="33"/>
      <c r="D418" s="33"/>
      <c r="E418" s="33"/>
      <c r="F418" s="33"/>
      <c r="G418" s="33"/>
      <c r="H418" s="33"/>
    </row>
    <row r="419" spans="1:8" s="54" customFormat="1" ht="11.4" customHeight="1" x14ac:dyDescent="0.3">
      <c r="A419" s="33"/>
      <c r="B419" s="33"/>
      <c r="C419" s="33"/>
      <c r="D419" s="33"/>
      <c r="E419" s="33"/>
      <c r="F419" s="33"/>
      <c r="G419" s="33"/>
      <c r="H419" s="33"/>
    </row>
    <row r="420" spans="1:8" s="54" customFormat="1" ht="11.4" customHeight="1" x14ac:dyDescent="0.3">
      <c r="A420" s="33"/>
      <c r="B420" s="33"/>
      <c r="C420" s="33"/>
      <c r="D420" s="33"/>
      <c r="E420" s="33"/>
      <c r="F420" s="33"/>
      <c r="G420" s="33"/>
      <c r="H420" s="33"/>
    </row>
    <row r="421" spans="1:8" s="54" customFormat="1" ht="11.4" customHeight="1" x14ac:dyDescent="0.3">
      <c r="A421" s="33"/>
      <c r="B421" s="33"/>
      <c r="C421" s="33"/>
      <c r="D421" s="33"/>
      <c r="E421" s="33"/>
      <c r="F421" s="33"/>
      <c r="G421" s="33"/>
      <c r="H421" s="33"/>
    </row>
    <row r="422" spans="1:8" s="54" customFormat="1" ht="11.4" customHeight="1" x14ac:dyDescent="0.3">
      <c r="A422" s="33"/>
      <c r="B422" s="33"/>
      <c r="C422" s="33"/>
      <c r="D422" s="33"/>
      <c r="E422" s="33"/>
      <c r="F422" s="33"/>
      <c r="G422" s="33"/>
      <c r="H422" s="33"/>
    </row>
    <row r="423" spans="1:8" s="54" customFormat="1" ht="11.4" customHeight="1" x14ac:dyDescent="0.3">
      <c r="A423" s="33"/>
      <c r="B423" s="33"/>
      <c r="C423" s="33"/>
      <c r="D423" s="33"/>
      <c r="E423" s="33"/>
      <c r="F423" s="33"/>
      <c r="G423" s="33"/>
      <c r="H423" s="33"/>
    </row>
    <row r="424" spans="1:8" s="54" customFormat="1" ht="11.4" customHeight="1" x14ac:dyDescent="0.3">
      <c r="A424" s="33"/>
      <c r="B424" s="33"/>
      <c r="C424" s="33"/>
      <c r="D424" s="33"/>
      <c r="E424" s="33"/>
      <c r="F424" s="33"/>
      <c r="G424" s="33"/>
      <c r="H424" s="33"/>
    </row>
    <row r="425" spans="1:8" s="54" customFormat="1" ht="11.4" customHeight="1" x14ac:dyDescent="0.3">
      <c r="A425" s="33"/>
      <c r="B425" s="33"/>
      <c r="C425" s="33"/>
      <c r="D425" s="33"/>
      <c r="E425" s="33"/>
      <c r="F425" s="33"/>
      <c r="G425" s="33"/>
      <c r="H425" s="33"/>
    </row>
    <row r="426" spans="1:8" s="54" customFormat="1" ht="11.4" customHeight="1" x14ac:dyDescent="0.3">
      <c r="A426" s="33"/>
      <c r="B426" s="33"/>
      <c r="C426" s="33"/>
      <c r="D426" s="33"/>
      <c r="E426" s="33"/>
      <c r="F426" s="33"/>
      <c r="G426" s="33"/>
      <c r="H426" s="33"/>
    </row>
    <row r="427" spans="1:8" s="54" customFormat="1" ht="11.4" customHeight="1" x14ac:dyDescent="0.3">
      <c r="A427" s="33"/>
      <c r="B427" s="33"/>
      <c r="C427" s="33"/>
      <c r="D427" s="33"/>
      <c r="E427" s="33"/>
      <c r="F427" s="33"/>
      <c r="G427" s="33"/>
      <c r="H427" s="33"/>
    </row>
    <row r="428" spans="1:8" s="54" customFormat="1" ht="11.4" customHeight="1" x14ac:dyDescent="0.3">
      <c r="A428" s="33"/>
      <c r="B428" s="33"/>
      <c r="C428" s="33"/>
      <c r="D428" s="33"/>
      <c r="E428" s="33"/>
      <c r="F428" s="33"/>
      <c r="G428" s="33"/>
      <c r="H428" s="33"/>
    </row>
    <row r="429" spans="1:8" s="54" customFormat="1" ht="11.4" customHeight="1" x14ac:dyDescent="0.3">
      <c r="A429" s="33"/>
      <c r="B429" s="33"/>
      <c r="C429" s="33"/>
      <c r="D429" s="33"/>
      <c r="E429" s="33"/>
      <c r="F429" s="33"/>
      <c r="G429" s="33"/>
      <c r="H429" s="33"/>
    </row>
    <row r="430" spans="1:8" s="54" customFormat="1" ht="11.4" customHeight="1" x14ac:dyDescent="0.3">
      <c r="A430" s="33"/>
      <c r="B430" s="33"/>
      <c r="C430" s="33"/>
      <c r="D430" s="33"/>
      <c r="E430" s="33"/>
      <c r="F430" s="33"/>
      <c r="G430" s="33"/>
      <c r="H430" s="33"/>
    </row>
    <row r="431" spans="1:8" s="54" customFormat="1" ht="11.4" customHeight="1" x14ac:dyDescent="0.3">
      <c r="A431" s="33"/>
      <c r="B431" s="33"/>
      <c r="C431" s="33"/>
      <c r="D431" s="33"/>
      <c r="E431" s="33"/>
      <c r="F431" s="33"/>
      <c r="G431" s="33"/>
      <c r="H431" s="33"/>
    </row>
    <row r="432" spans="1:8" s="54" customFormat="1" ht="11.4" customHeight="1" x14ac:dyDescent="0.3">
      <c r="A432" s="33"/>
      <c r="B432" s="33"/>
      <c r="C432" s="33"/>
      <c r="D432" s="33"/>
      <c r="E432" s="33"/>
      <c r="F432" s="33"/>
      <c r="G432" s="33"/>
      <c r="H432" s="33"/>
    </row>
    <row r="433" spans="1:8" s="54" customFormat="1" ht="11.4" customHeight="1" x14ac:dyDescent="0.3">
      <c r="A433" s="33"/>
      <c r="B433" s="33"/>
      <c r="C433" s="33"/>
      <c r="D433" s="33"/>
      <c r="E433" s="33"/>
      <c r="F433" s="33"/>
      <c r="G433" s="33"/>
      <c r="H433" s="33"/>
    </row>
    <row r="434" spans="1:8" s="54" customFormat="1" ht="11.4" customHeight="1" x14ac:dyDescent="0.3">
      <c r="A434" s="33"/>
      <c r="B434" s="33"/>
      <c r="C434" s="33"/>
      <c r="D434" s="33"/>
      <c r="E434" s="33"/>
      <c r="F434" s="33"/>
      <c r="G434" s="33"/>
      <c r="H434" s="33"/>
    </row>
    <row r="435" spans="1:8" s="54" customFormat="1" ht="11.4" customHeight="1" x14ac:dyDescent="0.3">
      <c r="A435" s="33"/>
      <c r="B435" s="33"/>
      <c r="C435" s="33"/>
      <c r="D435" s="33"/>
      <c r="E435" s="33"/>
      <c r="F435" s="33"/>
      <c r="G435" s="33"/>
      <c r="H435" s="33"/>
    </row>
    <row r="436" spans="1:8" s="54" customFormat="1" ht="11.4" customHeight="1" x14ac:dyDescent="0.3">
      <c r="A436" s="33"/>
      <c r="B436" s="33"/>
      <c r="C436" s="33"/>
      <c r="D436" s="33"/>
      <c r="E436" s="33"/>
      <c r="F436" s="33"/>
      <c r="G436" s="33"/>
      <c r="H436" s="33"/>
    </row>
    <row r="437" spans="1:8" s="54" customFormat="1" ht="11.4" customHeight="1" x14ac:dyDescent="0.3">
      <c r="A437" s="33"/>
      <c r="B437" s="33"/>
      <c r="C437" s="33"/>
      <c r="D437" s="33"/>
      <c r="E437" s="33"/>
      <c r="F437" s="33"/>
      <c r="G437" s="33"/>
      <c r="H437" s="33"/>
    </row>
    <row r="438" spans="1:8" s="54" customFormat="1" ht="11.4" customHeight="1" x14ac:dyDescent="0.3">
      <c r="A438" s="33"/>
      <c r="B438" s="33"/>
      <c r="C438" s="33"/>
      <c r="D438" s="33"/>
      <c r="E438" s="33"/>
      <c r="F438" s="33"/>
      <c r="G438" s="33"/>
      <c r="H438" s="33"/>
    </row>
    <row r="439" spans="1:8" s="54" customFormat="1" ht="11.4" customHeight="1" x14ac:dyDescent="0.3">
      <c r="A439" s="33"/>
      <c r="B439" s="33"/>
      <c r="C439" s="33"/>
      <c r="D439" s="33"/>
      <c r="E439" s="33"/>
      <c r="F439" s="33"/>
      <c r="G439" s="33"/>
      <c r="H439" s="33"/>
    </row>
    <row r="440" spans="1:8" s="54" customFormat="1" ht="11.4" customHeight="1" x14ac:dyDescent="0.3">
      <c r="A440" s="33"/>
      <c r="B440" s="33"/>
      <c r="C440" s="33"/>
      <c r="D440" s="33"/>
      <c r="E440" s="33"/>
      <c r="F440" s="33"/>
      <c r="G440" s="33"/>
      <c r="H440" s="33"/>
    </row>
    <row r="441" spans="1:8" s="54" customFormat="1" ht="11.4" customHeight="1" x14ac:dyDescent="0.3">
      <c r="A441" s="33"/>
      <c r="B441" s="33"/>
      <c r="C441" s="33"/>
      <c r="D441" s="33"/>
      <c r="E441" s="33"/>
      <c r="F441" s="33"/>
      <c r="G441" s="33"/>
      <c r="H441" s="33"/>
    </row>
    <row r="442" spans="1:8" s="54" customFormat="1" ht="11.4" customHeight="1" x14ac:dyDescent="0.3">
      <c r="A442" s="33"/>
      <c r="B442" s="33"/>
      <c r="C442" s="33"/>
      <c r="D442" s="33"/>
      <c r="E442" s="33"/>
      <c r="F442" s="33"/>
      <c r="G442" s="33"/>
      <c r="H442" s="33"/>
    </row>
    <row r="443" spans="1:8" s="54" customFormat="1" ht="11.4" customHeight="1" x14ac:dyDescent="0.3">
      <c r="A443" s="33"/>
      <c r="B443" s="33"/>
      <c r="C443" s="33"/>
      <c r="D443" s="33"/>
      <c r="E443" s="33"/>
      <c r="F443" s="33"/>
      <c r="G443" s="33"/>
      <c r="H443" s="33"/>
    </row>
    <row r="444" spans="1:8" s="54" customFormat="1" ht="11.4" customHeight="1" x14ac:dyDescent="0.3">
      <c r="A444" s="33"/>
      <c r="B444" s="33"/>
      <c r="C444" s="33"/>
      <c r="D444" s="33"/>
      <c r="E444" s="33"/>
      <c r="F444" s="33"/>
      <c r="G444" s="33"/>
      <c r="H444" s="33"/>
    </row>
    <row r="445" spans="1:8" s="54" customFormat="1" ht="11.4" customHeight="1" x14ac:dyDescent="0.3">
      <c r="A445" s="33"/>
      <c r="B445" s="33"/>
      <c r="C445" s="33"/>
      <c r="D445" s="33"/>
      <c r="E445" s="33"/>
      <c r="F445" s="33"/>
      <c r="G445" s="33"/>
      <c r="H445" s="33"/>
    </row>
    <row r="446" spans="1:8" s="54" customFormat="1" ht="11.4" customHeight="1" x14ac:dyDescent="0.3">
      <c r="A446" s="33"/>
      <c r="B446" s="33"/>
      <c r="C446" s="33"/>
      <c r="D446" s="33"/>
      <c r="E446" s="33"/>
      <c r="F446" s="33"/>
      <c r="G446" s="33"/>
      <c r="H446" s="33"/>
    </row>
    <row r="447" spans="1:8" s="54" customFormat="1" ht="11.4" customHeight="1" x14ac:dyDescent="0.3">
      <c r="A447" s="33"/>
      <c r="B447" s="33"/>
      <c r="C447" s="33"/>
      <c r="D447" s="33"/>
      <c r="E447" s="33"/>
      <c r="F447" s="33"/>
      <c r="G447" s="33"/>
      <c r="H447" s="33"/>
    </row>
    <row r="448" spans="1:8" s="54" customFormat="1" ht="11.4" customHeight="1" x14ac:dyDescent="0.3">
      <c r="A448" s="33"/>
      <c r="B448" s="33"/>
      <c r="C448" s="33"/>
      <c r="D448" s="33"/>
      <c r="E448" s="33"/>
      <c r="F448" s="33"/>
      <c r="G448" s="33"/>
      <c r="H448" s="33"/>
    </row>
    <row r="449" spans="1:8" s="54" customFormat="1" ht="11.4" customHeight="1" x14ac:dyDescent="0.3">
      <c r="A449" s="33"/>
      <c r="B449" s="33"/>
      <c r="C449" s="33"/>
      <c r="D449" s="33"/>
      <c r="E449" s="33"/>
      <c r="F449" s="33"/>
      <c r="G449" s="33"/>
      <c r="H449" s="33"/>
    </row>
    <row r="450" spans="1:8" s="54" customFormat="1" ht="11.4" customHeight="1" x14ac:dyDescent="0.3">
      <c r="A450" s="33"/>
      <c r="B450" s="33"/>
      <c r="C450" s="33"/>
      <c r="D450" s="33"/>
      <c r="E450" s="33"/>
      <c r="F450" s="33"/>
      <c r="G450" s="33"/>
      <c r="H450" s="33"/>
    </row>
    <row r="451" spans="1:8" s="54" customFormat="1" ht="11.4" customHeight="1" x14ac:dyDescent="0.3">
      <c r="A451" s="33"/>
      <c r="B451" s="33"/>
      <c r="C451" s="33"/>
      <c r="D451" s="33"/>
      <c r="E451" s="33"/>
      <c r="F451" s="33"/>
      <c r="G451" s="33"/>
      <c r="H451" s="33"/>
    </row>
    <row r="452" spans="1:8" s="54" customFormat="1" ht="11.4" customHeight="1" x14ac:dyDescent="0.3">
      <c r="A452" s="33"/>
      <c r="B452" s="33"/>
      <c r="C452" s="33"/>
      <c r="D452" s="33"/>
      <c r="E452" s="33"/>
      <c r="F452" s="33"/>
      <c r="G452" s="33"/>
      <c r="H452" s="33"/>
    </row>
    <row r="453" spans="1:8" s="54" customFormat="1" ht="11.4" customHeight="1" x14ac:dyDescent="0.3">
      <c r="A453" s="33"/>
      <c r="B453" s="33"/>
      <c r="C453" s="33"/>
      <c r="D453" s="33"/>
      <c r="E453" s="33"/>
      <c r="F453" s="33"/>
      <c r="G453" s="33"/>
      <c r="H453" s="33"/>
    </row>
    <row r="454" spans="1:8" s="54" customFormat="1" ht="11.4" customHeight="1" x14ac:dyDescent="0.3">
      <c r="A454" s="33"/>
      <c r="B454" s="33"/>
      <c r="C454" s="33"/>
      <c r="D454" s="33"/>
      <c r="E454" s="33"/>
      <c r="F454" s="33"/>
      <c r="G454" s="33"/>
      <c r="H454" s="33"/>
    </row>
    <row r="455" spans="1:8" s="54" customFormat="1" ht="11.4" customHeight="1" x14ac:dyDescent="0.3">
      <c r="A455" s="33"/>
      <c r="B455" s="33"/>
      <c r="C455" s="33"/>
      <c r="D455" s="33"/>
      <c r="E455" s="33"/>
      <c r="F455" s="33"/>
      <c r="G455" s="33"/>
      <c r="H455" s="33"/>
    </row>
    <row r="456" spans="1:8" s="54" customFormat="1" ht="11.4" customHeight="1" x14ac:dyDescent="0.3">
      <c r="A456" s="33"/>
      <c r="B456" s="33"/>
      <c r="C456" s="33"/>
      <c r="D456" s="33"/>
      <c r="E456" s="33"/>
      <c r="F456" s="33"/>
      <c r="G456" s="33"/>
      <c r="H456" s="33"/>
    </row>
    <row r="457" spans="1:8" s="54" customFormat="1" ht="11.4" customHeight="1" x14ac:dyDescent="0.3">
      <c r="A457" s="33"/>
      <c r="B457" s="33"/>
      <c r="C457" s="33"/>
      <c r="D457" s="33"/>
      <c r="E457" s="33"/>
      <c r="F457" s="33"/>
      <c r="G457" s="33"/>
      <c r="H457" s="33"/>
    </row>
    <row r="458" spans="1:8" s="54" customFormat="1" ht="11.4" customHeight="1" x14ac:dyDescent="0.3">
      <c r="A458" s="33"/>
      <c r="B458" s="33"/>
      <c r="C458" s="33"/>
      <c r="D458" s="33"/>
      <c r="E458" s="33"/>
      <c r="F458" s="33"/>
      <c r="G458" s="33"/>
      <c r="H458" s="33"/>
    </row>
    <row r="459" spans="1:8" s="54" customFormat="1" ht="11.4" customHeight="1" x14ac:dyDescent="0.3">
      <c r="A459" s="33"/>
      <c r="B459" s="33"/>
      <c r="C459" s="33"/>
      <c r="D459" s="33"/>
      <c r="E459" s="33"/>
      <c r="F459" s="33"/>
      <c r="G459" s="33"/>
      <c r="H459" s="33"/>
    </row>
    <row r="460" spans="1:8" s="54" customFormat="1" ht="11.4" customHeight="1" x14ac:dyDescent="0.3">
      <c r="A460" s="33"/>
      <c r="B460" s="33"/>
      <c r="C460" s="33"/>
      <c r="D460" s="33"/>
      <c r="E460" s="33"/>
      <c r="F460" s="33"/>
      <c r="G460" s="33"/>
      <c r="H460" s="33"/>
    </row>
    <row r="461" spans="1:8" s="54" customFormat="1" ht="11.4" customHeight="1" x14ac:dyDescent="0.3">
      <c r="A461" s="33"/>
      <c r="B461" s="33"/>
      <c r="C461" s="33"/>
      <c r="D461" s="33"/>
      <c r="E461" s="33"/>
      <c r="F461" s="33"/>
      <c r="G461" s="33"/>
      <c r="H461" s="33"/>
    </row>
    <row r="462" spans="1:8" s="54" customFormat="1" ht="11.4" customHeight="1" x14ac:dyDescent="0.3">
      <c r="A462" s="33"/>
      <c r="B462" s="33"/>
      <c r="C462" s="33"/>
      <c r="D462" s="33"/>
      <c r="E462" s="33"/>
      <c r="F462" s="33"/>
      <c r="G462" s="33"/>
      <c r="H462" s="33"/>
    </row>
    <row r="463" spans="1:8" s="54" customFormat="1" ht="11.4" customHeight="1" x14ac:dyDescent="0.3">
      <c r="A463" s="33"/>
      <c r="B463" s="33"/>
      <c r="C463" s="33"/>
      <c r="D463" s="33"/>
      <c r="E463" s="33"/>
      <c r="F463" s="33"/>
      <c r="G463" s="33"/>
      <c r="H463" s="33"/>
    </row>
    <row r="464" spans="1:8" s="54" customFormat="1" ht="11.4" customHeight="1" x14ac:dyDescent="0.3">
      <c r="A464" s="33"/>
      <c r="B464" s="33"/>
      <c r="C464" s="33"/>
      <c r="D464" s="33"/>
      <c r="E464" s="33"/>
      <c r="F464" s="33"/>
      <c r="G464" s="33"/>
      <c r="H464" s="33"/>
    </row>
    <row r="465" spans="1:8" s="54" customFormat="1" ht="11.4" customHeight="1" x14ac:dyDescent="0.3">
      <c r="A465" s="33"/>
      <c r="B465" s="33"/>
      <c r="C465" s="33"/>
      <c r="D465" s="33"/>
      <c r="E465" s="33"/>
      <c r="F465" s="33"/>
      <c r="G465" s="33"/>
      <c r="H465" s="33"/>
    </row>
    <row r="466" spans="1:8" s="54" customFormat="1" ht="11.4" customHeight="1" x14ac:dyDescent="0.3">
      <c r="A466" s="33"/>
      <c r="B466" s="33"/>
      <c r="C466" s="33"/>
      <c r="D466" s="33"/>
      <c r="E466" s="33"/>
      <c r="F466" s="33"/>
      <c r="G466" s="33"/>
      <c r="H466" s="33"/>
    </row>
    <row r="467" spans="1:8" s="54" customFormat="1" ht="11.4" customHeight="1" x14ac:dyDescent="0.3">
      <c r="A467" s="33"/>
      <c r="B467" s="33"/>
      <c r="C467" s="33"/>
      <c r="D467" s="33"/>
      <c r="E467" s="33"/>
      <c r="F467" s="33"/>
      <c r="G467" s="33"/>
      <c r="H467" s="33"/>
    </row>
    <row r="468" spans="1:8" s="54" customFormat="1" ht="11.4" customHeight="1" x14ac:dyDescent="0.3">
      <c r="A468" s="33"/>
      <c r="B468" s="33"/>
      <c r="C468" s="33"/>
      <c r="D468" s="33"/>
      <c r="E468" s="33"/>
      <c r="F468" s="33"/>
      <c r="G468" s="33"/>
      <c r="H468" s="33"/>
    </row>
    <row r="469" spans="1:8" s="54" customFormat="1" ht="11.4" customHeight="1" x14ac:dyDescent="0.3">
      <c r="A469" s="33"/>
      <c r="B469" s="33"/>
      <c r="C469" s="33"/>
      <c r="D469" s="33"/>
      <c r="E469" s="33"/>
      <c r="F469" s="33"/>
      <c r="G469" s="33"/>
      <c r="H469" s="33"/>
    </row>
    <row r="470" spans="1:8" s="54" customFormat="1" ht="11.4" customHeight="1" x14ac:dyDescent="0.3">
      <c r="A470" s="33"/>
      <c r="B470" s="33"/>
      <c r="C470" s="33"/>
      <c r="D470" s="33"/>
      <c r="E470" s="33"/>
      <c r="F470" s="33"/>
      <c r="G470" s="33"/>
      <c r="H470" s="33"/>
    </row>
    <row r="471" spans="1:8" s="54" customFormat="1" ht="11.4" customHeight="1" x14ac:dyDescent="0.3">
      <c r="A471" s="33"/>
      <c r="B471" s="33"/>
      <c r="C471" s="33"/>
      <c r="D471" s="33"/>
      <c r="E471" s="33"/>
      <c r="F471" s="33"/>
      <c r="G471" s="33"/>
      <c r="H471" s="33"/>
    </row>
    <row r="472" spans="1:8" s="54" customFormat="1" ht="11.4" customHeight="1" x14ac:dyDescent="0.3">
      <c r="A472" s="33"/>
      <c r="B472" s="33"/>
      <c r="C472" s="33"/>
      <c r="D472" s="33"/>
      <c r="E472" s="33"/>
      <c r="F472" s="33"/>
      <c r="G472" s="33"/>
      <c r="H472" s="33"/>
    </row>
    <row r="473" spans="1:8" s="54" customFormat="1" ht="11.4" customHeight="1" x14ac:dyDescent="0.3">
      <c r="A473" s="33"/>
      <c r="B473" s="33"/>
      <c r="C473" s="33"/>
      <c r="D473" s="33"/>
      <c r="E473" s="33"/>
      <c r="F473" s="33"/>
      <c r="G473" s="33"/>
      <c r="H473" s="33"/>
    </row>
    <row r="474" spans="1:8" s="54" customFormat="1" ht="11.4" customHeight="1" x14ac:dyDescent="0.3">
      <c r="A474" s="33"/>
      <c r="B474" s="33"/>
      <c r="C474" s="33"/>
      <c r="D474" s="33"/>
      <c r="E474" s="33"/>
      <c r="F474" s="33"/>
      <c r="G474" s="33"/>
      <c r="H474" s="33"/>
    </row>
    <row r="475" spans="1:8" s="54" customFormat="1" ht="11.4" customHeight="1" x14ac:dyDescent="0.3">
      <c r="A475" s="33"/>
      <c r="B475" s="33"/>
      <c r="C475" s="33"/>
      <c r="D475" s="33"/>
      <c r="E475" s="33"/>
      <c r="F475" s="33"/>
      <c r="G475" s="33"/>
      <c r="H475" s="33"/>
    </row>
    <row r="476" spans="1:8" s="54" customFormat="1" ht="11.4" customHeight="1" x14ac:dyDescent="0.3">
      <c r="A476" s="33"/>
      <c r="B476" s="33"/>
      <c r="C476" s="33"/>
      <c r="D476" s="33"/>
      <c r="E476" s="33"/>
      <c r="F476" s="33"/>
      <c r="G476" s="33"/>
      <c r="H476" s="33"/>
    </row>
    <row r="477" spans="1:8" s="54" customFormat="1" ht="11.4" customHeight="1" x14ac:dyDescent="0.3">
      <c r="A477" s="33"/>
      <c r="B477" s="33"/>
      <c r="C477" s="33"/>
      <c r="D477" s="33"/>
      <c r="E477" s="33"/>
      <c r="F477" s="33"/>
      <c r="G477" s="33"/>
      <c r="H477" s="33"/>
    </row>
    <row r="478" spans="1:8" s="54" customFormat="1" ht="11.4" customHeight="1" x14ac:dyDescent="0.3">
      <c r="A478" s="33"/>
      <c r="B478" s="33"/>
      <c r="C478" s="33"/>
      <c r="D478" s="33"/>
      <c r="E478" s="33"/>
      <c r="F478" s="33"/>
      <c r="G478" s="33"/>
      <c r="H478" s="33"/>
    </row>
    <row r="479" spans="1:8" s="54" customFormat="1" ht="11.4" customHeight="1" x14ac:dyDescent="0.3">
      <c r="A479" s="33"/>
      <c r="B479" s="33"/>
      <c r="C479" s="33"/>
      <c r="D479" s="33"/>
      <c r="E479" s="33"/>
      <c r="F479" s="33"/>
      <c r="G479" s="33"/>
      <c r="H479" s="33"/>
    </row>
    <row r="480" spans="1:8" s="54" customFormat="1" ht="11.4" customHeight="1" x14ac:dyDescent="0.3">
      <c r="A480" s="33"/>
      <c r="B480" s="33"/>
      <c r="C480" s="33"/>
      <c r="D480" s="33"/>
      <c r="E480" s="33"/>
      <c r="F480" s="33"/>
      <c r="G480" s="33"/>
      <c r="H480" s="33"/>
    </row>
    <row r="481" spans="1:8" s="54" customFormat="1" ht="11.4" customHeight="1" x14ac:dyDescent="0.3">
      <c r="A481" s="33"/>
      <c r="B481" s="33"/>
      <c r="C481" s="33"/>
      <c r="D481" s="33"/>
      <c r="E481" s="33"/>
      <c r="F481" s="33"/>
      <c r="G481" s="33"/>
      <c r="H481" s="33"/>
    </row>
    <row r="482" spans="1:8" s="54" customFormat="1" ht="11.4" customHeight="1" x14ac:dyDescent="0.3">
      <c r="A482" s="33"/>
      <c r="B482" s="33"/>
      <c r="C482" s="33"/>
      <c r="D482" s="33"/>
      <c r="E482" s="33"/>
      <c r="F482" s="33"/>
      <c r="G482" s="33"/>
      <c r="H482" s="33"/>
    </row>
    <row r="483" spans="1:8" s="54" customFormat="1" ht="11.4" customHeight="1" x14ac:dyDescent="0.3">
      <c r="A483" s="33"/>
      <c r="B483" s="33"/>
      <c r="C483" s="33"/>
      <c r="D483" s="33"/>
      <c r="E483" s="33"/>
      <c r="F483" s="33"/>
      <c r="G483" s="33"/>
      <c r="H483" s="33"/>
    </row>
    <row r="484" spans="1:8" s="54" customFormat="1" ht="11.4" customHeight="1" x14ac:dyDescent="0.3">
      <c r="A484" s="33"/>
      <c r="B484" s="33"/>
      <c r="C484" s="33"/>
      <c r="D484" s="33"/>
      <c r="E484" s="33"/>
      <c r="F484" s="33"/>
      <c r="G484" s="33"/>
      <c r="H484" s="33"/>
    </row>
    <row r="485" spans="1:8" s="54" customFormat="1" ht="11.4" customHeight="1" x14ac:dyDescent="0.3">
      <c r="A485" s="33"/>
      <c r="B485" s="33"/>
      <c r="C485" s="33"/>
      <c r="D485" s="33"/>
      <c r="E485" s="33"/>
      <c r="F485" s="33"/>
      <c r="G485" s="33"/>
      <c r="H485" s="33"/>
    </row>
    <row r="486" spans="1:8" s="54" customFormat="1" ht="11.4" customHeight="1" x14ac:dyDescent="0.3">
      <c r="A486" s="33"/>
      <c r="B486" s="33"/>
      <c r="C486" s="33"/>
      <c r="D486" s="33"/>
      <c r="E486" s="33"/>
      <c r="F486" s="33"/>
      <c r="G486" s="33"/>
      <c r="H486" s="33"/>
    </row>
    <row r="487" spans="1:8" s="54" customFormat="1" ht="11.4" customHeight="1" x14ac:dyDescent="0.3">
      <c r="A487" s="33"/>
      <c r="B487" s="33"/>
      <c r="C487" s="33"/>
      <c r="D487" s="33"/>
      <c r="E487" s="33"/>
      <c r="F487" s="33"/>
      <c r="G487" s="33"/>
      <c r="H487" s="33"/>
    </row>
    <row r="488" spans="1:8" s="54" customFormat="1" ht="11.4" customHeight="1" x14ac:dyDescent="0.3">
      <c r="A488" s="33"/>
      <c r="B488" s="33"/>
      <c r="C488" s="33"/>
      <c r="D488" s="33"/>
      <c r="E488" s="33"/>
      <c r="F488" s="33"/>
      <c r="G488" s="33"/>
      <c r="H488" s="33"/>
    </row>
    <row r="489" spans="1:8" s="54" customFormat="1" ht="11.4" customHeight="1" x14ac:dyDescent="0.3">
      <c r="A489" s="33"/>
      <c r="B489" s="33"/>
      <c r="C489" s="33"/>
      <c r="D489" s="33"/>
      <c r="E489" s="33"/>
      <c r="F489" s="33"/>
      <c r="G489" s="33"/>
      <c r="H489" s="33"/>
    </row>
    <row r="490" spans="1:8" s="54" customFormat="1" ht="11.4" customHeight="1" x14ac:dyDescent="0.3">
      <c r="A490" s="33"/>
      <c r="B490" s="33"/>
      <c r="C490" s="33"/>
      <c r="D490" s="33"/>
      <c r="E490" s="33"/>
      <c r="F490" s="33"/>
      <c r="G490" s="33"/>
      <c r="H490" s="33"/>
    </row>
    <row r="491" spans="1:8" s="54" customFormat="1" ht="11.4" customHeight="1" x14ac:dyDescent="0.3">
      <c r="A491" s="33"/>
      <c r="B491" s="33"/>
      <c r="C491" s="33"/>
      <c r="D491" s="33"/>
      <c r="E491" s="33"/>
      <c r="F491" s="33"/>
      <c r="G491" s="33"/>
      <c r="H491" s="33"/>
    </row>
    <row r="492" spans="1:8" s="54" customFormat="1" ht="11.4" customHeight="1" x14ac:dyDescent="0.3">
      <c r="A492" s="33"/>
      <c r="B492" s="33"/>
      <c r="C492" s="33"/>
      <c r="D492" s="33"/>
      <c r="E492" s="33"/>
      <c r="F492" s="33"/>
      <c r="G492" s="33"/>
      <c r="H492" s="33"/>
    </row>
    <row r="493" spans="1:8" s="54" customFormat="1" ht="11.4" customHeight="1" x14ac:dyDescent="0.3">
      <c r="A493" s="33"/>
      <c r="B493" s="33"/>
      <c r="C493" s="33"/>
      <c r="D493" s="33"/>
      <c r="E493" s="33"/>
      <c r="F493" s="33"/>
      <c r="G493" s="33"/>
      <c r="H493" s="33"/>
    </row>
    <row r="494" spans="1:8" s="54" customFormat="1" ht="11.4" customHeight="1" x14ac:dyDescent="0.3">
      <c r="A494" s="33"/>
      <c r="B494" s="33"/>
      <c r="C494" s="33"/>
      <c r="D494" s="33"/>
      <c r="E494" s="33"/>
      <c r="F494" s="33"/>
      <c r="G494" s="33"/>
      <c r="H494" s="33"/>
    </row>
    <row r="495" spans="1:8" s="54" customFormat="1" ht="11.4" customHeight="1" x14ac:dyDescent="0.3">
      <c r="A495" s="33"/>
      <c r="B495" s="33"/>
      <c r="C495" s="33"/>
      <c r="D495" s="33"/>
      <c r="E495" s="33"/>
      <c r="F495" s="33"/>
      <c r="G495" s="33"/>
      <c r="H495" s="33"/>
    </row>
    <row r="496" spans="1:8" s="54" customFormat="1" ht="11.4" customHeight="1" x14ac:dyDescent="0.3">
      <c r="A496" s="33"/>
      <c r="B496" s="33"/>
      <c r="C496" s="33"/>
      <c r="D496" s="33"/>
      <c r="E496" s="33"/>
      <c r="F496" s="33"/>
      <c r="G496" s="33"/>
      <c r="H496" s="33"/>
    </row>
    <row r="497" spans="1:8" s="54" customFormat="1" ht="11.4" customHeight="1" x14ac:dyDescent="0.3">
      <c r="A497" s="33"/>
      <c r="B497" s="33"/>
      <c r="C497" s="33"/>
      <c r="D497" s="33"/>
      <c r="E497" s="33"/>
      <c r="F497" s="33"/>
      <c r="G497" s="33"/>
      <c r="H497" s="33"/>
    </row>
    <row r="498" spans="1:8" s="54" customFormat="1" ht="11.4" customHeight="1" x14ac:dyDescent="0.3">
      <c r="A498" s="33"/>
      <c r="B498" s="33"/>
      <c r="C498" s="33"/>
      <c r="D498" s="33"/>
      <c r="E498" s="33"/>
      <c r="F498" s="33"/>
      <c r="G498" s="33"/>
      <c r="H498" s="33"/>
    </row>
    <row r="499" spans="1:8" s="54" customFormat="1" ht="11.4" customHeight="1" x14ac:dyDescent="0.3">
      <c r="A499" s="33"/>
      <c r="B499" s="33"/>
      <c r="C499" s="33"/>
      <c r="D499" s="33"/>
      <c r="E499" s="33"/>
      <c r="F499" s="33"/>
      <c r="G499" s="33"/>
      <c r="H499" s="33"/>
    </row>
    <row r="500" spans="1:8" s="54" customFormat="1" ht="11.4" customHeight="1" x14ac:dyDescent="0.3">
      <c r="A500" s="33"/>
      <c r="B500" s="33"/>
      <c r="C500" s="33"/>
      <c r="D500" s="33"/>
      <c r="E500" s="33"/>
      <c r="F500" s="33"/>
      <c r="G500" s="33"/>
      <c r="H500" s="33"/>
    </row>
    <row r="501" spans="1:8" s="54" customFormat="1" ht="11.4" customHeight="1" x14ac:dyDescent="0.3">
      <c r="A501" s="33"/>
      <c r="B501" s="33"/>
      <c r="C501" s="33"/>
      <c r="D501" s="33"/>
      <c r="E501" s="33"/>
      <c r="F501" s="33"/>
      <c r="G501" s="33"/>
      <c r="H501" s="33"/>
    </row>
    <row r="502" spans="1:8" s="54" customFormat="1" ht="11.4" customHeight="1" x14ac:dyDescent="0.3">
      <c r="A502" s="33"/>
      <c r="B502" s="33"/>
      <c r="C502" s="33"/>
      <c r="D502" s="33"/>
      <c r="E502" s="33"/>
      <c r="F502" s="33"/>
      <c r="G502" s="33"/>
      <c r="H502" s="33"/>
    </row>
    <row r="503" spans="1:8" s="54" customFormat="1" ht="11.4" customHeight="1" x14ac:dyDescent="0.3">
      <c r="A503" s="33"/>
      <c r="B503" s="33"/>
      <c r="C503" s="33"/>
      <c r="D503" s="33"/>
      <c r="E503" s="33"/>
      <c r="F503" s="33"/>
      <c r="G503" s="33"/>
      <c r="H503" s="33"/>
    </row>
    <row r="504" spans="1:8" s="54" customFormat="1" ht="11.4" customHeight="1" x14ac:dyDescent="0.3">
      <c r="A504" s="33"/>
      <c r="B504" s="33"/>
      <c r="C504" s="33"/>
      <c r="D504" s="33"/>
      <c r="E504" s="33"/>
      <c r="F504" s="33"/>
      <c r="G504" s="33"/>
      <c r="H504" s="33"/>
    </row>
    <row r="505" spans="1:8" s="54" customFormat="1" ht="11.4" customHeight="1" x14ac:dyDescent="0.3">
      <c r="A505" s="33"/>
      <c r="B505" s="33"/>
      <c r="C505" s="33"/>
      <c r="D505" s="33"/>
      <c r="E505" s="33"/>
      <c r="F505" s="33"/>
      <c r="G505" s="33"/>
      <c r="H505" s="33"/>
    </row>
    <row r="506" spans="1:8" s="54" customFormat="1" ht="11.4" customHeight="1" x14ac:dyDescent="0.3">
      <c r="A506" s="33"/>
      <c r="B506" s="33"/>
      <c r="C506" s="33"/>
      <c r="D506" s="33"/>
      <c r="E506" s="33"/>
      <c r="F506" s="33"/>
      <c r="G506" s="33"/>
      <c r="H506" s="33"/>
    </row>
    <row r="507" spans="1:8" s="54" customFormat="1" ht="11.4" customHeight="1" x14ac:dyDescent="0.3">
      <c r="A507" s="33"/>
      <c r="B507" s="33"/>
      <c r="C507" s="33"/>
      <c r="D507" s="33"/>
      <c r="E507" s="33"/>
      <c r="F507" s="33"/>
      <c r="G507" s="33"/>
      <c r="H507" s="33"/>
    </row>
    <row r="508" spans="1:8" s="54" customFormat="1" ht="11.4" customHeight="1" x14ac:dyDescent="0.3">
      <c r="A508" s="33"/>
      <c r="B508" s="33"/>
      <c r="C508" s="33"/>
      <c r="D508" s="33"/>
      <c r="E508" s="33"/>
      <c r="F508" s="33"/>
      <c r="G508" s="33"/>
      <c r="H508" s="33"/>
    </row>
    <row r="509" spans="1:8" s="54" customFormat="1" ht="11.4" customHeight="1" x14ac:dyDescent="0.3">
      <c r="A509" s="33"/>
      <c r="B509" s="33"/>
      <c r="C509" s="33"/>
      <c r="D509" s="33"/>
      <c r="E509" s="33"/>
      <c r="F509" s="33"/>
      <c r="G509" s="33"/>
      <c r="H509" s="33"/>
    </row>
    <row r="510" spans="1:8" s="54" customFormat="1" ht="11.4" customHeight="1" x14ac:dyDescent="0.3">
      <c r="A510" s="33"/>
      <c r="B510" s="33"/>
      <c r="C510" s="33"/>
      <c r="D510" s="33"/>
      <c r="E510" s="33"/>
      <c r="F510" s="33"/>
      <c r="G510" s="33"/>
      <c r="H510" s="33"/>
    </row>
    <row r="511" spans="1:8" s="54" customFormat="1" ht="11.4" customHeight="1" x14ac:dyDescent="0.3">
      <c r="A511" s="33"/>
      <c r="B511" s="33"/>
      <c r="C511" s="33"/>
      <c r="D511" s="33"/>
      <c r="E511" s="33"/>
      <c r="F511" s="33"/>
      <c r="G511" s="33"/>
      <c r="H511" s="33"/>
    </row>
    <row r="512" spans="1:8" s="54" customFormat="1" ht="11.4" customHeight="1" x14ac:dyDescent="0.3">
      <c r="A512" s="33"/>
      <c r="B512" s="33"/>
      <c r="C512" s="33"/>
      <c r="D512" s="33"/>
      <c r="E512" s="33"/>
      <c r="F512" s="33"/>
      <c r="G512" s="33"/>
      <c r="H512" s="33"/>
    </row>
    <row r="513" spans="1:8" s="54" customFormat="1" ht="11.4" customHeight="1" x14ac:dyDescent="0.3">
      <c r="A513" s="33"/>
      <c r="B513" s="33"/>
      <c r="C513" s="33"/>
      <c r="D513" s="33"/>
      <c r="E513" s="33"/>
      <c r="F513" s="33"/>
      <c r="G513" s="33"/>
      <c r="H513" s="33"/>
    </row>
    <row r="514" spans="1:8" s="54" customFormat="1" ht="11.4" customHeight="1" x14ac:dyDescent="0.3">
      <c r="A514" s="33"/>
      <c r="B514" s="33"/>
      <c r="C514" s="33"/>
      <c r="D514" s="33"/>
      <c r="E514" s="33"/>
      <c r="F514" s="33"/>
      <c r="G514" s="33"/>
      <c r="H514" s="33"/>
    </row>
    <row r="515" spans="1:8" s="54" customFormat="1" ht="11.4" customHeight="1" x14ac:dyDescent="0.3">
      <c r="A515" s="33"/>
      <c r="B515" s="33"/>
      <c r="C515" s="33"/>
      <c r="D515" s="33"/>
      <c r="E515" s="33"/>
      <c r="F515" s="33"/>
      <c r="G515" s="33"/>
      <c r="H515" s="33"/>
    </row>
    <row r="516" spans="1:8" s="54" customFormat="1" ht="11.4" customHeight="1" x14ac:dyDescent="0.3">
      <c r="A516" s="33"/>
      <c r="B516" s="33"/>
      <c r="C516" s="33"/>
      <c r="D516" s="33"/>
      <c r="E516" s="33"/>
      <c r="F516" s="33"/>
      <c r="G516" s="33"/>
      <c r="H516" s="33"/>
    </row>
    <row r="517" spans="1:8" s="54" customFormat="1" ht="11.4" customHeight="1" x14ac:dyDescent="0.3">
      <c r="A517" s="33"/>
      <c r="B517" s="33"/>
      <c r="C517" s="33"/>
      <c r="D517" s="33"/>
      <c r="E517" s="33"/>
      <c r="F517" s="33"/>
      <c r="G517" s="33"/>
      <c r="H517" s="33"/>
    </row>
    <row r="518" spans="1:8" s="54" customFormat="1" ht="11.4" customHeight="1" x14ac:dyDescent="0.3">
      <c r="A518" s="33"/>
      <c r="B518" s="33"/>
      <c r="C518" s="33"/>
      <c r="D518" s="33"/>
      <c r="E518" s="33"/>
      <c r="F518" s="33"/>
      <c r="G518" s="33"/>
      <c r="H518" s="33"/>
    </row>
    <row r="519" spans="1:8" s="54" customFormat="1" ht="11.4" customHeight="1" x14ac:dyDescent="0.3">
      <c r="A519" s="33"/>
      <c r="B519" s="33"/>
      <c r="C519" s="33"/>
      <c r="D519" s="33"/>
      <c r="E519" s="33"/>
      <c r="F519" s="33"/>
      <c r="G519" s="33"/>
      <c r="H519" s="33"/>
    </row>
    <row r="520" spans="1:8" s="54" customFormat="1" ht="11.4" customHeight="1" x14ac:dyDescent="0.3">
      <c r="A520" s="33"/>
      <c r="B520" s="33"/>
      <c r="C520" s="33"/>
      <c r="D520" s="33"/>
      <c r="E520" s="33"/>
      <c r="F520" s="33"/>
      <c r="G520" s="33"/>
      <c r="H520" s="33"/>
    </row>
    <row r="521" spans="1:8" s="54" customFormat="1" ht="11.4" customHeight="1" x14ac:dyDescent="0.3">
      <c r="A521" s="33"/>
      <c r="B521" s="33"/>
      <c r="C521" s="33"/>
      <c r="D521" s="33"/>
      <c r="E521" s="33"/>
      <c r="F521" s="33"/>
      <c r="G521" s="33"/>
      <c r="H521" s="33"/>
    </row>
    <row r="522" spans="1:8" s="54" customFormat="1" ht="11.4" customHeight="1" x14ac:dyDescent="0.3">
      <c r="A522" s="33"/>
      <c r="B522" s="33"/>
      <c r="C522" s="33"/>
      <c r="D522" s="33"/>
      <c r="E522" s="33"/>
      <c r="F522" s="33"/>
      <c r="G522" s="33"/>
      <c r="H522" s="33"/>
    </row>
    <row r="523" spans="1:8" s="54" customFormat="1" ht="11.4" customHeight="1" x14ac:dyDescent="0.3">
      <c r="A523" s="33"/>
      <c r="B523" s="33"/>
      <c r="C523" s="33"/>
      <c r="D523" s="33"/>
      <c r="E523" s="33"/>
      <c r="F523" s="33"/>
      <c r="G523" s="33"/>
      <c r="H523" s="33"/>
    </row>
    <row r="524" spans="1:8" s="54" customFormat="1" ht="11.4" customHeight="1" x14ac:dyDescent="0.3">
      <c r="A524" s="33"/>
      <c r="B524" s="33"/>
      <c r="C524" s="33"/>
      <c r="D524" s="33"/>
      <c r="E524" s="33"/>
      <c r="F524" s="33"/>
      <c r="G524" s="33"/>
      <c r="H524" s="33"/>
    </row>
    <row r="525" spans="1:8" s="54" customFormat="1" ht="11.4" customHeight="1" x14ac:dyDescent="0.3">
      <c r="A525" s="33"/>
      <c r="B525" s="33"/>
      <c r="C525" s="33"/>
      <c r="D525" s="33"/>
      <c r="E525" s="33"/>
      <c r="F525" s="33"/>
      <c r="G525" s="33"/>
      <c r="H525" s="33"/>
    </row>
    <row r="526" spans="1:8" s="54" customFormat="1" ht="11.4" customHeight="1" x14ac:dyDescent="0.3">
      <c r="A526" s="33"/>
      <c r="B526" s="33"/>
      <c r="C526" s="33"/>
      <c r="D526" s="33"/>
      <c r="E526" s="33"/>
      <c r="F526" s="33"/>
      <c r="G526" s="33"/>
      <c r="H526" s="33"/>
    </row>
    <row r="527" spans="1:8" s="54" customFormat="1" ht="11.4" customHeight="1" x14ac:dyDescent="0.3">
      <c r="A527" s="33"/>
      <c r="B527" s="33"/>
      <c r="C527" s="33"/>
      <c r="D527" s="33"/>
      <c r="E527" s="33"/>
      <c r="F527" s="33"/>
      <c r="G527" s="33"/>
      <c r="H527" s="33"/>
    </row>
    <row r="528" spans="1:8" s="54" customFormat="1" ht="11.4" customHeight="1" x14ac:dyDescent="0.3">
      <c r="A528" s="33"/>
      <c r="B528" s="33"/>
      <c r="C528" s="33"/>
      <c r="D528" s="33"/>
      <c r="E528" s="33"/>
      <c r="F528" s="33"/>
      <c r="G528" s="33"/>
      <c r="H528" s="33"/>
    </row>
    <row r="529" spans="1:8" s="54" customFormat="1" ht="11.4" customHeight="1" x14ac:dyDescent="0.3">
      <c r="A529" s="33"/>
      <c r="B529" s="33"/>
      <c r="C529" s="33"/>
      <c r="D529" s="33"/>
      <c r="E529" s="33"/>
      <c r="F529" s="33"/>
      <c r="G529" s="33"/>
      <c r="H529" s="33"/>
    </row>
    <row r="530" spans="1:8" s="54" customFormat="1" ht="11.4" customHeight="1" x14ac:dyDescent="0.3">
      <c r="A530" s="33"/>
      <c r="B530" s="33"/>
      <c r="C530" s="33"/>
      <c r="D530" s="33"/>
      <c r="E530" s="33"/>
      <c r="F530" s="33"/>
      <c r="G530" s="33"/>
      <c r="H530" s="33"/>
    </row>
    <row r="531" spans="1:8" s="54" customFormat="1" ht="11.4" customHeight="1" x14ac:dyDescent="0.3">
      <c r="A531" s="33"/>
      <c r="B531" s="33"/>
      <c r="C531" s="33"/>
      <c r="D531" s="33"/>
      <c r="E531" s="33"/>
      <c r="F531" s="33"/>
      <c r="G531" s="33"/>
      <c r="H531" s="33"/>
    </row>
    <row r="532" spans="1:8" s="54" customFormat="1" ht="11.4" customHeight="1" x14ac:dyDescent="0.3">
      <c r="A532" s="33"/>
      <c r="B532" s="33"/>
      <c r="C532" s="33"/>
      <c r="D532" s="33"/>
      <c r="E532" s="33"/>
      <c r="F532" s="33"/>
      <c r="G532" s="33"/>
      <c r="H532" s="33"/>
    </row>
    <row r="533" spans="1:8" s="54" customFormat="1" ht="11.4" customHeight="1" x14ac:dyDescent="0.3">
      <c r="A533" s="33"/>
      <c r="B533" s="33"/>
      <c r="C533" s="33"/>
      <c r="D533" s="33"/>
      <c r="E533" s="33"/>
      <c r="F533" s="33"/>
      <c r="G533" s="33"/>
      <c r="H533" s="33"/>
    </row>
    <row r="534" spans="1:8" s="54" customFormat="1" ht="11.4" customHeight="1" x14ac:dyDescent="0.3">
      <c r="A534" s="33"/>
      <c r="B534" s="33"/>
      <c r="C534" s="33"/>
      <c r="D534" s="33"/>
      <c r="E534" s="33"/>
      <c r="F534" s="33"/>
      <c r="G534" s="33"/>
      <c r="H534" s="33"/>
    </row>
    <row r="535" spans="1:8" s="54" customFormat="1" ht="11.4" customHeight="1" x14ac:dyDescent="0.3">
      <c r="A535" s="33"/>
      <c r="B535" s="33"/>
      <c r="C535" s="33"/>
      <c r="D535" s="33"/>
      <c r="E535" s="33"/>
      <c r="F535" s="33"/>
      <c r="G535" s="33"/>
      <c r="H535" s="33"/>
    </row>
    <row r="536" spans="1:8" s="54" customFormat="1" ht="11.4" customHeight="1" x14ac:dyDescent="0.3">
      <c r="A536" s="33"/>
      <c r="B536" s="33"/>
      <c r="C536" s="33"/>
      <c r="D536" s="33"/>
      <c r="E536" s="33"/>
      <c r="F536" s="33"/>
      <c r="G536" s="33"/>
      <c r="H536" s="33"/>
    </row>
    <row r="537" spans="1:8" s="54" customFormat="1" ht="11.4" customHeight="1" x14ac:dyDescent="0.3">
      <c r="A537" s="33"/>
      <c r="B537" s="33"/>
      <c r="C537" s="33"/>
      <c r="D537" s="33"/>
      <c r="E537" s="33"/>
      <c r="F537" s="33"/>
      <c r="G537" s="33"/>
      <c r="H537" s="33"/>
    </row>
    <row r="538" spans="1:8" s="54" customFormat="1" ht="11.4" customHeight="1" x14ac:dyDescent="0.3">
      <c r="A538" s="33"/>
      <c r="B538" s="33"/>
      <c r="C538" s="33"/>
      <c r="D538" s="33"/>
      <c r="E538" s="33"/>
      <c r="F538" s="33"/>
      <c r="G538" s="33"/>
      <c r="H538" s="33"/>
    </row>
    <row r="539" spans="1:8" s="54" customFormat="1" ht="11.4" customHeight="1" x14ac:dyDescent="0.3">
      <c r="A539" s="33"/>
      <c r="B539" s="33"/>
      <c r="C539" s="33"/>
      <c r="D539" s="33"/>
      <c r="E539" s="33"/>
      <c r="F539" s="33"/>
      <c r="G539" s="33"/>
      <c r="H539" s="33"/>
    </row>
    <row r="540" spans="1:8" s="54" customFormat="1" ht="11.4" customHeight="1" x14ac:dyDescent="0.3">
      <c r="A540" s="33"/>
      <c r="B540" s="33"/>
      <c r="C540" s="33"/>
      <c r="D540" s="33"/>
      <c r="E540" s="33"/>
      <c r="F540" s="33"/>
      <c r="G540" s="33"/>
      <c r="H540" s="33"/>
    </row>
    <row r="541" spans="1:8" s="54" customFormat="1" ht="11.4" customHeight="1" x14ac:dyDescent="0.3">
      <c r="A541" s="33"/>
      <c r="B541" s="33"/>
      <c r="C541" s="33"/>
      <c r="D541" s="33"/>
      <c r="E541" s="33"/>
      <c r="F541" s="33"/>
      <c r="G541" s="33"/>
      <c r="H541" s="33"/>
    </row>
    <row r="542" spans="1:8" s="54" customFormat="1" ht="11.4" customHeight="1" x14ac:dyDescent="0.3">
      <c r="A542" s="33"/>
      <c r="B542" s="33"/>
      <c r="C542" s="33"/>
      <c r="D542" s="33"/>
      <c r="E542" s="33"/>
      <c r="F542" s="33"/>
      <c r="G542" s="33"/>
      <c r="H542" s="33"/>
    </row>
    <row r="543" spans="1:8" s="54" customFormat="1" ht="11.4" customHeight="1" x14ac:dyDescent="0.3">
      <c r="A543" s="33"/>
      <c r="B543" s="33"/>
      <c r="C543" s="33"/>
      <c r="D543" s="33"/>
      <c r="E543" s="33"/>
      <c r="F543" s="33"/>
      <c r="G543" s="33"/>
      <c r="H543" s="33"/>
    </row>
    <row r="544" spans="1:8" s="54" customFormat="1" ht="11.4" customHeight="1" x14ac:dyDescent="0.3">
      <c r="A544" s="33"/>
      <c r="B544" s="33"/>
      <c r="C544" s="33"/>
      <c r="D544" s="33"/>
      <c r="E544" s="33"/>
      <c r="F544" s="33"/>
      <c r="G544" s="33"/>
      <c r="H544" s="33"/>
    </row>
    <row r="545" spans="1:8" s="54" customFormat="1" ht="11.4" customHeight="1" x14ac:dyDescent="0.3">
      <c r="A545" s="33"/>
      <c r="B545" s="33"/>
      <c r="C545" s="33"/>
      <c r="D545" s="33"/>
      <c r="E545" s="33"/>
      <c r="F545" s="33"/>
      <c r="G545" s="33"/>
      <c r="H545" s="33"/>
    </row>
    <row r="546" spans="1:8" s="54" customFormat="1" ht="11.4" customHeight="1" x14ac:dyDescent="0.3">
      <c r="A546" s="33"/>
      <c r="B546" s="33"/>
      <c r="C546" s="33"/>
      <c r="D546" s="33"/>
      <c r="E546" s="33"/>
      <c r="F546" s="33"/>
      <c r="G546" s="33"/>
      <c r="H546" s="33"/>
    </row>
    <row r="547" spans="1:8" s="54" customFormat="1" ht="11.4" customHeight="1" x14ac:dyDescent="0.3">
      <c r="A547" s="33"/>
      <c r="B547" s="33"/>
      <c r="C547" s="33"/>
      <c r="D547" s="33"/>
      <c r="E547" s="33"/>
      <c r="F547" s="33"/>
      <c r="G547" s="33"/>
      <c r="H547" s="33"/>
    </row>
    <row r="548" spans="1:8" s="54" customFormat="1" ht="11.4" customHeight="1" x14ac:dyDescent="0.3">
      <c r="A548" s="33"/>
      <c r="B548" s="33"/>
      <c r="C548" s="33"/>
      <c r="D548" s="33"/>
      <c r="E548" s="33"/>
      <c r="F548" s="33"/>
      <c r="G548" s="33"/>
      <c r="H548" s="33"/>
    </row>
    <row r="549" spans="1:8" s="54" customFormat="1" ht="11.4" customHeight="1" x14ac:dyDescent="0.3">
      <c r="A549" s="33"/>
      <c r="B549" s="33"/>
      <c r="C549" s="33"/>
      <c r="D549" s="33"/>
      <c r="E549" s="33"/>
      <c r="F549" s="33"/>
      <c r="G549" s="33"/>
      <c r="H549" s="33"/>
    </row>
    <row r="550" spans="1:8" s="54" customFormat="1" ht="11.4" customHeight="1" x14ac:dyDescent="0.3">
      <c r="A550" s="33"/>
      <c r="B550" s="33"/>
      <c r="C550" s="33"/>
      <c r="D550" s="33"/>
      <c r="E550" s="33"/>
      <c r="F550" s="33"/>
      <c r="G550" s="33"/>
      <c r="H550" s="33"/>
    </row>
    <row r="551" spans="1:8" s="54" customFormat="1" ht="11.4" customHeight="1" x14ac:dyDescent="0.3">
      <c r="A551" s="33"/>
      <c r="B551" s="33"/>
      <c r="C551" s="33"/>
      <c r="D551" s="33"/>
      <c r="E551" s="33"/>
      <c r="F551" s="33"/>
      <c r="G551" s="33"/>
      <c r="H551" s="33"/>
    </row>
    <row r="552" spans="1:8" s="54" customFormat="1" ht="11.4" customHeight="1" x14ac:dyDescent="0.3">
      <c r="A552" s="33"/>
      <c r="B552" s="33"/>
      <c r="C552" s="33"/>
      <c r="D552" s="33"/>
      <c r="E552" s="33"/>
      <c r="F552" s="33"/>
      <c r="G552" s="33"/>
      <c r="H552" s="33"/>
    </row>
    <row r="553" spans="1:8" s="54" customFormat="1" ht="11.4" customHeight="1" x14ac:dyDescent="0.3">
      <c r="A553" s="33"/>
      <c r="B553" s="33"/>
      <c r="C553" s="33"/>
      <c r="D553" s="33"/>
      <c r="E553" s="33"/>
      <c r="F553" s="33"/>
      <c r="G553" s="33"/>
      <c r="H553" s="33"/>
    </row>
    <row r="554" spans="1:8" s="54" customFormat="1" ht="11.4" customHeight="1" x14ac:dyDescent="0.3">
      <c r="A554" s="33"/>
      <c r="B554" s="33"/>
      <c r="C554" s="33"/>
      <c r="D554" s="33"/>
      <c r="E554" s="33"/>
      <c r="F554" s="33"/>
      <c r="G554" s="33"/>
      <c r="H554" s="33"/>
    </row>
    <row r="555" spans="1:8" s="54" customFormat="1" ht="11.4" customHeight="1" x14ac:dyDescent="0.3">
      <c r="A555" s="33"/>
      <c r="B555" s="33"/>
      <c r="C555" s="33"/>
      <c r="D555" s="33"/>
      <c r="E555" s="33"/>
      <c r="F555" s="33"/>
      <c r="G555" s="33"/>
      <c r="H555" s="33"/>
    </row>
    <row r="556" spans="1:8" s="54" customFormat="1" ht="11.4" customHeight="1" x14ac:dyDescent="0.3">
      <c r="A556" s="33"/>
      <c r="B556" s="33"/>
      <c r="C556" s="33"/>
      <c r="D556" s="33"/>
      <c r="E556" s="33"/>
      <c r="F556" s="33"/>
      <c r="G556" s="33"/>
      <c r="H556" s="33"/>
    </row>
    <row r="557" spans="1:8" s="54" customFormat="1" ht="11.4" customHeight="1" x14ac:dyDescent="0.3">
      <c r="A557" s="33"/>
      <c r="B557" s="33"/>
      <c r="C557" s="33"/>
      <c r="D557" s="33"/>
      <c r="E557" s="33"/>
      <c r="F557" s="33"/>
      <c r="G557" s="33"/>
      <c r="H557" s="33"/>
    </row>
    <row r="558" spans="1:8" s="54" customFormat="1" ht="11.4" customHeight="1" x14ac:dyDescent="0.3">
      <c r="A558" s="33"/>
      <c r="B558" s="33"/>
      <c r="C558" s="33"/>
      <c r="D558" s="33"/>
      <c r="E558" s="33"/>
      <c r="F558" s="33"/>
      <c r="G558" s="33"/>
      <c r="H558" s="33"/>
    </row>
    <row r="559" spans="1:8" s="54" customFormat="1" ht="11.4" customHeight="1" x14ac:dyDescent="0.3">
      <c r="A559" s="33"/>
      <c r="B559" s="33"/>
      <c r="C559" s="33"/>
      <c r="D559" s="33"/>
      <c r="E559" s="33"/>
      <c r="F559" s="33"/>
      <c r="G559" s="33"/>
      <c r="H559" s="33"/>
    </row>
    <row r="560" spans="1:8" s="54" customFormat="1" ht="11.4" customHeight="1" x14ac:dyDescent="0.3">
      <c r="A560" s="33"/>
      <c r="B560" s="33"/>
      <c r="C560" s="33"/>
      <c r="D560" s="33"/>
      <c r="E560" s="33"/>
      <c r="F560" s="33"/>
      <c r="G560" s="33"/>
      <c r="H560" s="33"/>
    </row>
    <row r="561" spans="1:8" s="54" customFormat="1" ht="11.4" customHeight="1" x14ac:dyDescent="0.3">
      <c r="A561" s="33"/>
      <c r="B561" s="33"/>
      <c r="C561" s="33"/>
      <c r="D561" s="33"/>
      <c r="E561" s="33"/>
      <c r="F561" s="33"/>
      <c r="G561" s="33"/>
      <c r="H561" s="33"/>
    </row>
    <row r="562" spans="1:8" s="54" customFormat="1" ht="11.4" customHeight="1" x14ac:dyDescent="0.3">
      <c r="A562" s="33"/>
      <c r="B562" s="33"/>
      <c r="C562" s="33"/>
      <c r="D562" s="33"/>
      <c r="E562" s="33"/>
      <c r="F562" s="33"/>
      <c r="G562" s="33"/>
      <c r="H562" s="33"/>
    </row>
    <row r="563" spans="1:8" s="54" customFormat="1" ht="11.4" customHeight="1" x14ac:dyDescent="0.3">
      <c r="A563" s="33"/>
      <c r="B563" s="33"/>
      <c r="C563" s="33"/>
      <c r="D563" s="33"/>
      <c r="E563" s="33"/>
      <c r="F563" s="33"/>
      <c r="G563" s="33"/>
      <c r="H563" s="33"/>
    </row>
    <row r="564" spans="1:8" s="54" customFormat="1" ht="11.4" customHeight="1" x14ac:dyDescent="0.3">
      <c r="A564" s="33"/>
      <c r="B564" s="33"/>
      <c r="C564" s="33"/>
      <c r="D564" s="33"/>
      <c r="E564" s="33"/>
      <c r="F564" s="33"/>
      <c r="G564" s="33"/>
      <c r="H564" s="33"/>
    </row>
    <row r="565" spans="1:8" s="54" customFormat="1" ht="11.4" customHeight="1" x14ac:dyDescent="0.3">
      <c r="A565" s="33"/>
      <c r="B565" s="33"/>
      <c r="C565" s="33"/>
      <c r="D565" s="33"/>
      <c r="E565" s="33"/>
      <c r="F565" s="33"/>
      <c r="G565" s="33"/>
      <c r="H565" s="33"/>
    </row>
    <row r="566" spans="1:8" s="54" customFormat="1" ht="11.4" customHeight="1" x14ac:dyDescent="0.3">
      <c r="A566" s="33"/>
      <c r="B566" s="33"/>
      <c r="C566" s="33"/>
      <c r="D566" s="33"/>
      <c r="E566" s="33"/>
      <c r="F566" s="33"/>
      <c r="G566" s="33"/>
      <c r="H566" s="33"/>
    </row>
    <row r="567" spans="1:8" s="54" customFormat="1" ht="11.4" customHeight="1" x14ac:dyDescent="0.3">
      <c r="A567" s="33"/>
      <c r="B567" s="33"/>
      <c r="C567" s="33"/>
      <c r="D567" s="33"/>
      <c r="E567" s="33"/>
      <c r="F567" s="33"/>
      <c r="G567" s="33"/>
      <c r="H567" s="33"/>
    </row>
    <row r="568" spans="1:8" s="54" customFormat="1" ht="11.4" customHeight="1" x14ac:dyDescent="0.3">
      <c r="A568" s="33"/>
      <c r="B568" s="33"/>
      <c r="C568" s="33"/>
      <c r="D568" s="33"/>
      <c r="E568" s="33"/>
      <c r="F568" s="33"/>
      <c r="G568" s="33"/>
      <c r="H568" s="33"/>
    </row>
    <row r="569" spans="1:8" s="54" customFormat="1" ht="11.4" customHeight="1" x14ac:dyDescent="0.3">
      <c r="A569" s="33"/>
      <c r="B569" s="33"/>
      <c r="C569" s="33"/>
      <c r="D569" s="33"/>
      <c r="E569" s="33"/>
      <c r="F569" s="33"/>
      <c r="G569" s="33"/>
      <c r="H569" s="33"/>
    </row>
    <row r="570" spans="1:8" s="54" customFormat="1" ht="11.4" customHeight="1" x14ac:dyDescent="0.3">
      <c r="A570" s="33"/>
      <c r="B570" s="33"/>
      <c r="C570" s="33"/>
      <c r="D570" s="33"/>
      <c r="E570" s="33"/>
      <c r="F570" s="33"/>
      <c r="G570" s="33"/>
      <c r="H570" s="33"/>
    </row>
    <row r="571" spans="1:8" s="54" customFormat="1" ht="11.4" customHeight="1" x14ac:dyDescent="0.3">
      <c r="A571" s="33"/>
      <c r="B571" s="33"/>
      <c r="C571" s="33"/>
      <c r="D571" s="33"/>
      <c r="E571" s="33"/>
      <c r="F571" s="33"/>
      <c r="G571" s="33"/>
      <c r="H571" s="33"/>
    </row>
    <row r="572" spans="1:8" s="54" customFormat="1" ht="11.4" customHeight="1" x14ac:dyDescent="0.3">
      <c r="A572" s="33"/>
      <c r="B572" s="33"/>
      <c r="C572" s="33"/>
      <c r="D572" s="33"/>
      <c r="E572" s="33"/>
      <c r="F572" s="33"/>
      <c r="G572" s="33"/>
      <c r="H572" s="33"/>
    </row>
    <row r="573" spans="1:8" s="54" customFormat="1" ht="11.4" customHeight="1" x14ac:dyDescent="0.3">
      <c r="A573" s="33"/>
      <c r="B573" s="33"/>
      <c r="C573" s="33"/>
      <c r="D573" s="33"/>
      <c r="E573" s="33"/>
      <c r="F573" s="33"/>
      <c r="G573" s="33"/>
      <c r="H573" s="33"/>
    </row>
    <row r="574" spans="1:8" s="54" customFormat="1" ht="11.4" customHeight="1" x14ac:dyDescent="0.3">
      <c r="A574" s="33"/>
      <c r="B574" s="33"/>
      <c r="C574" s="33"/>
      <c r="D574" s="33"/>
      <c r="E574" s="33"/>
      <c r="F574" s="33"/>
      <c r="G574" s="33"/>
      <c r="H574" s="33"/>
    </row>
    <row r="575" spans="1:8" s="54" customFormat="1" ht="11.4" customHeight="1" x14ac:dyDescent="0.3">
      <c r="A575" s="33"/>
      <c r="B575" s="33"/>
      <c r="C575" s="33"/>
      <c r="D575" s="33"/>
      <c r="E575" s="33"/>
      <c r="F575" s="33"/>
      <c r="G575" s="33"/>
      <c r="H575" s="33"/>
    </row>
    <row r="576" spans="1:8" s="54" customFormat="1" ht="11.4" customHeight="1" x14ac:dyDescent="0.3">
      <c r="A576" s="33"/>
      <c r="B576" s="33"/>
      <c r="C576" s="33"/>
      <c r="D576" s="33"/>
      <c r="E576" s="33"/>
      <c r="F576" s="33"/>
      <c r="G576" s="33"/>
      <c r="H576" s="33"/>
    </row>
    <row r="577" spans="1:8" s="54" customFormat="1" ht="11.4" customHeight="1" x14ac:dyDescent="0.3">
      <c r="A577" s="33"/>
      <c r="B577" s="33"/>
      <c r="C577" s="33"/>
      <c r="D577" s="33"/>
      <c r="E577" s="33"/>
      <c r="F577" s="33"/>
      <c r="G577" s="33"/>
      <c r="H577" s="33"/>
    </row>
    <row r="578" spans="1:8" s="54" customFormat="1" ht="11.4" customHeight="1" x14ac:dyDescent="0.3">
      <c r="A578" s="33"/>
      <c r="B578" s="33"/>
      <c r="C578" s="33"/>
      <c r="D578" s="33"/>
      <c r="E578" s="33"/>
      <c r="F578" s="33"/>
      <c r="G578" s="33"/>
      <c r="H578" s="33"/>
    </row>
    <row r="579" spans="1:8" s="54" customFormat="1" ht="11.4" customHeight="1" x14ac:dyDescent="0.3">
      <c r="A579" s="33"/>
      <c r="B579" s="33"/>
      <c r="C579" s="33"/>
      <c r="D579" s="33"/>
      <c r="E579" s="33"/>
      <c r="F579" s="33"/>
      <c r="G579" s="33"/>
      <c r="H579" s="33"/>
    </row>
    <row r="580" spans="1:8" s="54" customFormat="1" ht="11.4" customHeight="1" x14ac:dyDescent="0.3">
      <c r="A580" s="33"/>
      <c r="B580" s="33"/>
      <c r="C580" s="33"/>
      <c r="D580" s="33"/>
      <c r="E580" s="33"/>
      <c r="F580" s="33"/>
      <c r="G580" s="33"/>
      <c r="H580" s="33"/>
    </row>
    <row r="581" spans="1:8" s="54" customFormat="1" ht="11.4" customHeight="1" x14ac:dyDescent="0.3">
      <c r="A581" s="33"/>
      <c r="B581" s="33"/>
      <c r="C581" s="33"/>
      <c r="D581" s="33"/>
      <c r="E581" s="33"/>
      <c r="F581" s="33"/>
      <c r="G581" s="33"/>
      <c r="H581" s="33"/>
    </row>
    <row r="582" spans="1:8" s="54" customFormat="1" ht="11.4" customHeight="1" x14ac:dyDescent="0.3">
      <c r="A582" s="33"/>
      <c r="B582" s="33"/>
      <c r="C582" s="33"/>
      <c r="D582" s="33"/>
      <c r="E582" s="33"/>
      <c r="F582" s="33"/>
      <c r="G582" s="33"/>
      <c r="H582" s="33"/>
    </row>
    <row r="583" spans="1:8" s="54" customFormat="1" ht="11.4" customHeight="1" x14ac:dyDescent="0.3">
      <c r="A583" s="33"/>
      <c r="B583" s="33"/>
      <c r="C583" s="33"/>
      <c r="D583" s="33"/>
      <c r="E583" s="33"/>
      <c r="F583" s="33"/>
      <c r="G583" s="33"/>
      <c r="H583" s="33"/>
    </row>
    <row r="584" spans="1:8" s="54" customFormat="1" ht="11.4" customHeight="1" x14ac:dyDescent="0.3">
      <c r="A584" s="33"/>
      <c r="B584" s="33"/>
      <c r="C584" s="33"/>
      <c r="D584" s="33"/>
      <c r="E584" s="33"/>
      <c r="F584" s="33"/>
      <c r="G584" s="33"/>
      <c r="H584" s="33"/>
    </row>
    <row r="585" spans="1:8" s="54" customFormat="1" ht="11.4" customHeight="1" x14ac:dyDescent="0.3">
      <c r="A585" s="33"/>
      <c r="B585" s="33"/>
      <c r="C585" s="33"/>
      <c r="D585" s="33"/>
      <c r="E585" s="33"/>
      <c r="F585" s="33"/>
      <c r="G585" s="33"/>
      <c r="H585" s="33"/>
    </row>
    <row r="586" spans="1:8" s="54" customFormat="1" ht="11.4" customHeight="1" x14ac:dyDescent="0.3">
      <c r="A586" s="33"/>
      <c r="B586" s="33"/>
      <c r="C586" s="33"/>
      <c r="D586" s="33"/>
      <c r="E586" s="33"/>
      <c r="F586" s="33"/>
      <c r="G586" s="33"/>
      <c r="H586" s="33"/>
    </row>
    <row r="587" spans="1:8" s="54" customFormat="1" ht="11.4" customHeight="1" x14ac:dyDescent="0.3">
      <c r="A587" s="33"/>
      <c r="B587" s="33"/>
      <c r="C587" s="33"/>
      <c r="D587" s="33"/>
      <c r="E587" s="33"/>
      <c r="F587" s="33"/>
      <c r="G587" s="33"/>
      <c r="H587" s="33"/>
    </row>
    <row r="588" spans="1:8" s="54" customFormat="1" ht="11.4" customHeight="1" x14ac:dyDescent="0.3">
      <c r="A588" s="33"/>
      <c r="B588" s="33"/>
      <c r="C588" s="33"/>
      <c r="D588" s="33"/>
      <c r="E588" s="33"/>
      <c r="F588" s="33"/>
      <c r="G588" s="33"/>
      <c r="H588" s="33"/>
    </row>
    <row r="589" spans="1:8" s="54" customFormat="1" ht="11.4" customHeight="1" x14ac:dyDescent="0.3">
      <c r="A589" s="33"/>
      <c r="B589" s="33"/>
      <c r="C589" s="33"/>
      <c r="D589" s="33"/>
      <c r="E589" s="33"/>
      <c r="F589" s="33"/>
      <c r="G589" s="33"/>
      <c r="H589" s="33"/>
    </row>
    <row r="590" spans="1:8" s="54" customFormat="1" ht="11.4" customHeight="1" x14ac:dyDescent="0.3">
      <c r="A590" s="33"/>
      <c r="B590" s="33"/>
      <c r="C590" s="33"/>
      <c r="D590" s="33"/>
      <c r="E590" s="33"/>
      <c r="F590" s="33"/>
      <c r="G590" s="33"/>
      <c r="H590" s="33"/>
    </row>
    <row r="591" spans="1:8" s="54" customFormat="1" ht="11.4" customHeight="1" x14ac:dyDescent="0.3">
      <c r="A591" s="33"/>
      <c r="B591" s="33"/>
      <c r="C591" s="33"/>
      <c r="D591" s="33"/>
      <c r="E591" s="33"/>
      <c r="F591" s="33"/>
      <c r="G591" s="33"/>
      <c r="H591" s="33"/>
    </row>
    <row r="592" spans="1:8" s="54" customFormat="1" ht="11.4" customHeight="1" x14ac:dyDescent="0.3">
      <c r="A592" s="33"/>
      <c r="B592" s="33"/>
      <c r="C592" s="33"/>
      <c r="D592" s="33"/>
      <c r="E592" s="33"/>
      <c r="F592" s="33"/>
      <c r="G592" s="33"/>
      <c r="H592" s="33"/>
    </row>
    <row r="593" spans="1:8" s="54" customFormat="1" ht="11.4" customHeight="1" x14ac:dyDescent="0.3">
      <c r="A593" s="33"/>
      <c r="B593" s="33"/>
      <c r="C593" s="33"/>
      <c r="D593" s="33"/>
      <c r="E593" s="33"/>
      <c r="F593" s="33"/>
      <c r="G593" s="33"/>
      <c r="H593" s="33"/>
    </row>
    <row r="594" spans="1:8" s="54" customFormat="1" ht="11.4" customHeight="1" x14ac:dyDescent="0.3">
      <c r="A594" s="33"/>
      <c r="B594" s="33"/>
      <c r="C594" s="33"/>
      <c r="D594" s="33"/>
      <c r="E594" s="33"/>
      <c r="F594" s="33"/>
      <c r="G594" s="33"/>
      <c r="H594" s="33"/>
    </row>
    <row r="595" spans="1:8" s="54" customFormat="1" ht="11.4" customHeight="1" x14ac:dyDescent="0.3">
      <c r="A595" s="33"/>
      <c r="B595" s="33"/>
      <c r="C595" s="33"/>
      <c r="D595" s="33"/>
      <c r="E595" s="33"/>
      <c r="F595" s="33"/>
      <c r="G595" s="33"/>
      <c r="H595" s="33"/>
    </row>
    <row r="596" spans="1:8" s="54" customFormat="1" ht="11.4" customHeight="1" x14ac:dyDescent="0.3">
      <c r="A596" s="33"/>
      <c r="B596" s="33"/>
      <c r="C596" s="33"/>
      <c r="D596" s="33"/>
      <c r="E596" s="33"/>
      <c r="F596" s="33"/>
      <c r="G596" s="33"/>
      <c r="H596" s="33"/>
    </row>
    <row r="597" spans="1:8" s="54" customFormat="1" ht="11.4" customHeight="1" x14ac:dyDescent="0.3">
      <c r="A597" s="33"/>
      <c r="B597" s="33"/>
      <c r="C597" s="33"/>
      <c r="D597" s="33"/>
      <c r="E597" s="33"/>
      <c r="F597" s="33"/>
      <c r="G597" s="33"/>
      <c r="H597" s="33"/>
    </row>
    <row r="598" spans="1:8" s="54" customFormat="1" ht="11.4" customHeight="1" x14ac:dyDescent="0.3">
      <c r="A598" s="33"/>
      <c r="B598" s="33"/>
      <c r="C598" s="33"/>
      <c r="D598" s="33"/>
      <c r="E598" s="33"/>
      <c r="F598" s="33"/>
      <c r="G598" s="33"/>
      <c r="H598" s="33"/>
    </row>
    <row r="599" spans="1:8" s="54" customFormat="1" ht="11.4" customHeight="1" x14ac:dyDescent="0.3">
      <c r="A599" s="33"/>
      <c r="B599" s="33"/>
      <c r="C599" s="33"/>
      <c r="D599" s="33"/>
      <c r="E599" s="33"/>
      <c r="F599" s="33"/>
      <c r="G599" s="33"/>
      <c r="H599" s="33"/>
    </row>
    <row r="600" spans="1:8" s="54" customFormat="1" ht="11.4" customHeight="1" x14ac:dyDescent="0.3">
      <c r="A600" s="33"/>
      <c r="B600" s="33"/>
      <c r="C600" s="33"/>
      <c r="D600" s="33"/>
      <c r="E600" s="33"/>
      <c r="F600" s="33"/>
      <c r="G600" s="33"/>
      <c r="H600" s="33"/>
    </row>
    <row r="601" spans="1:8" s="54" customFormat="1" ht="11.4" customHeight="1" x14ac:dyDescent="0.3">
      <c r="A601" s="33"/>
      <c r="B601" s="33"/>
      <c r="C601" s="33"/>
      <c r="D601" s="33"/>
      <c r="E601" s="33"/>
      <c r="F601" s="33"/>
      <c r="G601" s="33"/>
      <c r="H601" s="33"/>
    </row>
    <row r="602" spans="1:8" s="54" customFormat="1" ht="11.4" customHeight="1" x14ac:dyDescent="0.3">
      <c r="A602" s="33"/>
      <c r="B602" s="33"/>
      <c r="C602" s="33"/>
      <c r="D602" s="33"/>
      <c r="E602" s="33"/>
      <c r="F602" s="33"/>
      <c r="G602" s="33"/>
      <c r="H602" s="33"/>
    </row>
    <row r="603" spans="1:8" s="54" customFormat="1" ht="11.4" customHeight="1" x14ac:dyDescent="0.3">
      <c r="A603" s="33"/>
      <c r="B603" s="33"/>
      <c r="C603" s="33"/>
      <c r="D603" s="33"/>
      <c r="E603" s="33"/>
      <c r="F603" s="33"/>
      <c r="G603" s="33"/>
      <c r="H603" s="33"/>
    </row>
    <row r="604" spans="1:8" s="54" customFormat="1" ht="11.4" customHeight="1" x14ac:dyDescent="0.3">
      <c r="A604" s="33"/>
      <c r="B604" s="33"/>
      <c r="C604" s="33"/>
      <c r="D604" s="33"/>
      <c r="E604" s="33"/>
      <c r="F604" s="33"/>
      <c r="G604" s="33"/>
      <c r="H604" s="33"/>
    </row>
    <row r="605" spans="1:8" s="54" customFormat="1" ht="11.4" customHeight="1" x14ac:dyDescent="0.3">
      <c r="A605" s="33"/>
      <c r="B605" s="33"/>
      <c r="C605" s="33"/>
      <c r="D605" s="33"/>
      <c r="E605" s="33"/>
      <c r="F605" s="33"/>
      <c r="G605" s="33"/>
      <c r="H605" s="33"/>
    </row>
    <row r="606" spans="1:8" s="54" customFormat="1" ht="11.4" customHeight="1" x14ac:dyDescent="0.3">
      <c r="A606" s="33"/>
      <c r="B606" s="33"/>
      <c r="C606" s="33"/>
      <c r="D606" s="33"/>
      <c r="E606" s="33"/>
      <c r="F606" s="33"/>
      <c r="G606" s="33"/>
      <c r="H606" s="33"/>
    </row>
    <row r="607" spans="1:8" s="54" customFormat="1" ht="11.4" customHeight="1" x14ac:dyDescent="0.3">
      <c r="A607" s="33"/>
      <c r="B607" s="33"/>
      <c r="C607" s="33"/>
      <c r="D607" s="33"/>
      <c r="E607" s="33"/>
      <c r="F607" s="33"/>
      <c r="G607" s="33"/>
      <c r="H607" s="33"/>
    </row>
    <row r="608" spans="1:8" s="54" customFormat="1" ht="11.4" customHeight="1" x14ac:dyDescent="0.3">
      <c r="A608" s="33"/>
      <c r="B608" s="33"/>
      <c r="C608" s="33"/>
      <c r="D608" s="33"/>
      <c r="E608" s="33"/>
      <c r="F608" s="33"/>
      <c r="G608" s="33"/>
      <c r="H608" s="33"/>
    </row>
    <row r="609" spans="1:8" s="54" customFormat="1" ht="11.4" customHeight="1" x14ac:dyDescent="0.3">
      <c r="A609" s="33"/>
      <c r="B609" s="33"/>
      <c r="C609" s="33"/>
      <c r="D609" s="33"/>
      <c r="E609" s="33"/>
      <c r="F609" s="33"/>
      <c r="G609" s="33"/>
      <c r="H609" s="33"/>
    </row>
    <row r="610" spans="1:8" s="54" customFormat="1" ht="11.4" customHeight="1" x14ac:dyDescent="0.3">
      <c r="A610" s="33"/>
      <c r="B610" s="33"/>
      <c r="C610" s="33"/>
      <c r="D610" s="33"/>
      <c r="E610" s="33"/>
      <c r="F610" s="33"/>
      <c r="G610" s="33"/>
      <c r="H610" s="33"/>
    </row>
    <row r="611" spans="1:8" s="54" customFormat="1" ht="11.4" customHeight="1" x14ac:dyDescent="0.3">
      <c r="A611" s="33"/>
      <c r="B611" s="33"/>
      <c r="C611" s="33"/>
      <c r="D611" s="33"/>
      <c r="E611" s="33"/>
      <c r="F611" s="33"/>
      <c r="G611" s="33"/>
      <c r="H611" s="33"/>
    </row>
    <row r="612" spans="1:8" s="54" customFormat="1" ht="11.4" customHeight="1" x14ac:dyDescent="0.3">
      <c r="A612" s="33"/>
      <c r="B612" s="33"/>
      <c r="C612" s="33"/>
      <c r="D612" s="33"/>
      <c r="E612" s="33"/>
      <c r="F612" s="33"/>
      <c r="G612" s="33"/>
      <c r="H612" s="33"/>
    </row>
    <row r="613" spans="1:8" s="54" customFormat="1" ht="11.4" customHeight="1" x14ac:dyDescent="0.3">
      <c r="A613" s="33"/>
      <c r="B613" s="33"/>
      <c r="C613" s="33"/>
      <c r="D613" s="33"/>
      <c r="E613" s="33"/>
      <c r="F613" s="33"/>
      <c r="G613" s="33"/>
      <c r="H613" s="33"/>
    </row>
    <row r="614" spans="1:8" s="54" customFormat="1" ht="11.4" customHeight="1" x14ac:dyDescent="0.3">
      <c r="A614" s="33"/>
      <c r="B614" s="33"/>
      <c r="C614" s="33"/>
      <c r="D614" s="33"/>
      <c r="E614" s="33"/>
      <c r="F614" s="33"/>
      <c r="G614" s="33"/>
      <c r="H614" s="33"/>
    </row>
    <row r="615" spans="1:8" s="54" customFormat="1" ht="11.4" customHeight="1" x14ac:dyDescent="0.3">
      <c r="A615" s="33"/>
      <c r="B615" s="33"/>
      <c r="C615" s="33"/>
      <c r="D615" s="33"/>
      <c r="E615" s="33"/>
      <c r="F615" s="33"/>
      <c r="G615" s="33"/>
      <c r="H615" s="33"/>
    </row>
    <row r="616" spans="1:8" s="54" customFormat="1" ht="11.4" customHeight="1" x14ac:dyDescent="0.3">
      <c r="A616" s="33"/>
      <c r="B616" s="33"/>
      <c r="C616" s="33"/>
      <c r="D616" s="33"/>
      <c r="E616" s="33"/>
      <c r="F616" s="33"/>
      <c r="G616" s="33"/>
      <c r="H616" s="33"/>
    </row>
    <row r="617" spans="1:8" s="54" customFormat="1" ht="11.4" customHeight="1" x14ac:dyDescent="0.3">
      <c r="A617" s="33"/>
      <c r="B617" s="33"/>
      <c r="C617" s="33"/>
      <c r="D617" s="33"/>
      <c r="E617" s="33"/>
      <c r="F617" s="33"/>
      <c r="G617" s="33"/>
      <c r="H617" s="33"/>
    </row>
    <row r="618" spans="1:8" s="54" customFormat="1" ht="11.4" customHeight="1" x14ac:dyDescent="0.3">
      <c r="A618" s="33"/>
      <c r="B618" s="33"/>
      <c r="C618" s="33"/>
      <c r="D618" s="33"/>
      <c r="E618" s="33"/>
      <c r="F618" s="33"/>
      <c r="G618" s="33"/>
      <c r="H618" s="33"/>
    </row>
    <row r="619" spans="1:8" s="54" customFormat="1" ht="11.4" customHeight="1" x14ac:dyDescent="0.3">
      <c r="A619" s="33"/>
      <c r="B619" s="33"/>
      <c r="C619" s="33"/>
      <c r="D619" s="33"/>
      <c r="E619" s="33"/>
      <c r="F619" s="33"/>
      <c r="G619" s="33"/>
      <c r="H619" s="33"/>
    </row>
    <row r="620" spans="1:8" s="54" customFormat="1" ht="11.4" customHeight="1" x14ac:dyDescent="0.3">
      <c r="A620" s="33"/>
      <c r="B620" s="33"/>
      <c r="C620" s="33"/>
      <c r="D620" s="33"/>
      <c r="E620" s="33"/>
      <c r="F620" s="33"/>
      <c r="G620" s="33"/>
      <c r="H620" s="33"/>
    </row>
    <row r="621" spans="1:8" s="54" customFormat="1" ht="11.4" customHeight="1" x14ac:dyDescent="0.3">
      <c r="A621" s="33"/>
      <c r="B621" s="33"/>
      <c r="C621" s="33"/>
      <c r="D621" s="33"/>
      <c r="E621" s="33"/>
      <c r="F621" s="33"/>
      <c r="G621" s="33"/>
      <c r="H621" s="33"/>
    </row>
    <row r="622" spans="1:8" s="54" customFormat="1" ht="11.4" customHeight="1" x14ac:dyDescent="0.3">
      <c r="A622" s="33"/>
      <c r="B622" s="33"/>
      <c r="C622" s="33"/>
      <c r="D622" s="33"/>
      <c r="E622" s="33"/>
      <c r="F622" s="33"/>
      <c r="G622" s="33"/>
      <c r="H622" s="33"/>
    </row>
    <row r="623" spans="1:8" s="54" customFormat="1" ht="11.4" customHeight="1" x14ac:dyDescent="0.3">
      <c r="A623" s="33"/>
      <c r="B623" s="33"/>
      <c r="C623" s="33"/>
      <c r="D623" s="33"/>
      <c r="E623" s="33"/>
      <c r="F623" s="33"/>
      <c r="G623" s="33"/>
      <c r="H623" s="33"/>
    </row>
    <row r="624" spans="1:8" s="54" customFormat="1" ht="11.4" customHeight="1" x14ac:dyDescent="0.3">
      <c r="A624" s="33"/>
      <c r="B624" s="33"/>
      <c r="C624" s="33"/>
      <c r="D624" s="33"/>
      <c r="E624" s="33"/>
      <c r="F624" s="33"/>
      <c r="G624" s="33"/>
      <c r="H624" s="33"/>
    </row>
    <row r="625" spans="1:8" s="54" customFormat="1" ht="11.4" customHeight="1" x14ac:dyDescent="0.3">
      <c r="A625" s="33"/>
      <c r="B625" s="33"/>
      <c r="C625" s="33"/>
      <c r="D625" s="33"/>
      <c r="E625" s="33"/>
      <c r="F625" s="33"/>
      <c r="G625" s="33"/>
      <c r="H625" s="33"/>
    </row>
    <row r="626" spans="1:8" s="54" customFormat="1" ht="11.4" customHeight="1" x14ac:dyDescent="0.3">
      <c r="A626" s="33"/>
      <c r="B626" s="33"/>
      <c r="C626" s="33"/>
      <c r="D626" s="33"/>
      <c r="E626" s="33"/>
      <c r="F626" s="33"/>
      <c r="G626" s="33"/>
      <c r="H626" s="33"/>
    </row>
    <row r="627" spans="1:8" s="54" customFormat="1" ht="11.4" customHeight="1" x14ac:dyDescent="0.3">
      <c r="A627" s="33"/>
      <c r="B627" s="33"/>
      <c r="C627" s="33"/>
      <c r="D627" s="33"/>
      <c r="E627" s="33"/>
      <c r="F627" s="33"/>
      <c r="G627" s="33"/>
      <c r="H627" s="33"/>
    </row>
    <row r="628" spans="1:8" s="54" customFormat="1" ht="11.4" customHeight="1" x14ac:dyDescent="0.3">
      <c r="A628" s="33"/>
      <c r="B628" s="33"/>
      <c r="C628" s="33"/>
      <c r="D628" s="33"/>
      <c r="E628" s="33"/>
      <c r="F628" s="33"/>
      <c r="G628" s="33"/>
      <c r="H628" s="33"/>
    </row>
    <row r="629" spans="1:8" s="54" customFormat="1" ht="11.4" customHeight="1" x14ac:dyDescent="0.3">
      <c r="A629" s="33"/>
      <c r="B629" s="33"/>
      <c r="C629" s="33"/>
      <c r="D629" s="33"/>
      <c r="E629" s="33"/>
      <c r="F629" s="33"/>
      <c r="G629" s="33"/>
      <c r="H629" s="33"/>
    </row>
    <row r="630" spans="1:8" s="54" customFormat="1" ht="11.4" customHeight="1" x14ac:dyDescent="0.3">
      <c r="A630" s="33"/>
      <c r="B630" s="33"/>
      <c r="C630" s="33"/>
      <c r="D630" s="33"/>
      <c r="E630" s="33"/>
      <c r="F630" s="33"/>
      <c r="G630" s="33"/>
      <c r="H630" s="33"/>
    </row>
    <row r="631" spans="1:8" s="54" customFormat="1" ht="11.4" customHeight="1" x14ac:dyDescent="0.3">
      <c r="A631" s="33"/>
      <c r="B631" s="33"/>
      <c r="C631" s="33"/>
      <c r="D631" s="33"/>
      <c r="E631" s="33"/>
      <c r="F631" s="33"/>
      <c r="G631" s="33"/>
      <c r="H631" s="33"/>
    </row>
    <row r="632" spans="1:8" s="54" customFormat="1" ht="11.4" customHeight="1" x14ac:dyDescent="0.3">
      <c r="A632" s="33"/>
      <c r="B632" s="33"/>
      <c r="C632" s="33"/>
      <c r="D632" s="33"/>
      <c r="E632" s="33"/>
      <c r="F632" s="33"/>
      <c r="G632" s="33"/>
      <c r="H632" s="33"/>
    </row>
    <row r="633" spans="1:8" s="54" customFormat="1" ht="11.4" customHeight="1" x14ac:dyDescent="0.3">
      <c r="A633" s="33"/>
      <c r="B633" s="33"/>
      <c r="C633" s="33"/>
      <c r="D633" s="33"/>
      <c r="E633" s="33"/>
      <c r="F633" s="33"/>
      <c r="G633" s="33"/>
      <c r="H633" s="33"/>
    </row>
    <row r="634" spans="1:8" s="54" customFormat="1" ht="11.4" customHeight="1" x14ac:dyDescent="0.3">
      <c r="A634" s="33"/>
      <c r="B634" s="33"/>
      <c r="C634" s="33"/>
      <c r="D634" s="33"/>
      <c r="E634" s="33"/>
      <c r="F634" s="33"/>
      <c r="G634" s="33"/>
      <c r="H634" s="33"/>
    </row>
    <row r="635" spans="1:8" s="54" customFormat="1" ht="11.4" customHeight="1" x14ac:dyDescent="0.3">
      <c r="A635" s="33"/>
      <c r="B635" s="33"/>
      <c r="C635" s="33"/>
      <c r="D635" s="33"/>
      <c r="E635" s="33"/>
      <c r="F635" s="33"/>
      <c r="G635" s="33"/>
      <c r="H635" s="33"/>
    </row>
    <row r="636" spans="1:8" s="54" customFormat="1" ht="11.4" customHeight="1" x14ac:dyDescent="0.3">
      <c r="A636" s="33"/>
      <c r="B636" s="33"/>
      <c r="C636" s="33"/>
      <c r="D636" s="33"/>
      <c r="E636" s="33"/>
      <c r="F636" s="33"/>
      <c r="G636" s="33"/>
      <c r="H636" s="33"/>
    </row>
    <row r="637" spans="1:8" s="54" customFormat="1" ht="11.4" customHeight="1" x14ac:dyDescent="0.3">
      <c r="A637" s="33"/>
      <c r="B637" s="33"/>
      <c r="C637" s="33"/>
      <c r="D637" s="33"/>
      <c r="E637" s="33"/>
      <c r="F637" s="33"/>
      <c r="G637" s="33"/>
      <c r="H637" s="33"/>
    </row>
    <row r="638" spans="1:8" s="54" customFormat="1" ht="11.4" customHeight="1" x14ac:dyDescent="0.3">
      <c r="A638" s="33"/>
      <c r="B638" s="33"/>
      <c r="C638" s="33"/>
      <c r="D638" s="33"/>
      <c r="E638" s="33"/>
      <c r="F638" s="33"/>
      <c r="G638" s="33"/>
      <c r="H638" s="33"/>
    </row>
    <row r="639" spans="1:8" s="54" customFormat="1" ht="11.4" customHeight="1" x14ac:dyDescent="0.3">
      <c r="A639" s="33"/>
      <c r="B639" s="33"/>
      <c r="C639" s="33"/>
      <c r="D639" s="33"/>
      <c r="E639" s="33"/>
      <c r="F639" s="33"/>
      <c r="G639" s="33"/>
      <c r="H639" s="33"/>
    </row>
    <row r="640" spans="1:8" s="54" customFormat="1" ht="11.4" customHeight="1" x14ac:dyDescent="0.3">
      <c r="A640" s="33"/>
      <c r="B640" s="33"/>
      <c r="C640" s="33"/>
      <c r="D640" s="33"/>
      <c r="E640" s="33"/>
      <c r="F640" s="33"/>
      <c r="G640" s="33"/>
      <c r="H640" s="33"/>
    </row>
    <row r="641" spans="1:8" s="54" customFormat="1" ht="11.4" customHeight="1" x14ac:dyDescent="0.3">
      <c r="A641" s="33"/>
      <c r="B641" s="33"/>
      <c r="C641" s="33"/>
      <c r="D641" s="33"/>
      <c r="E641" s="33"/>
      <c r="F641" s="33"/>
      <c r="G641" s="33"/>
      <c r="H641" s="33"/>
    </row>
    <row r="642" spans="1:8" s="54" customFormat="1" ht="11.4" customHeight="1" x14ac:dyDescent="0.3">
      <c r="A642" s="33"/>
      <c r="B642" s="33"/>
      <c r="C642" s="33"/>
      <c r="D642" s="33"/>
      <c r="E642" s="33"/>
      <c r="F642" s="33"/>
      <c r="G642" s="33"/>
      <c r="H642" s="33"/>
    </row>
    <row r="643" spans="1:8" s="54" customFormat="1" ht="11.4" customHeight="1" x14ac:dyDescent="0.3">
      <c r="A643" s="33"/>
      <c r="B643" s="33"/>
      <c r="C643" s="33"/>
      <c r="D643" s="33"/>
      <c r="E643" s="33"/>
      <c r="F643" s="33"/>
      <c r="G643" s="33"/>
      <c r="H643" s="33"/>
    </row>
    <row r="644" spans="1:8" s="54" customFormat="1" ht="11.4" customHeight="1" x14ac:dyDescent="0.3">
      <c r="A644" s="33"/>
      <c r="B644" s="33"/>
      <c r="C644" s="33"/>
      <c r="D644" s="33"/>
      <c r="E644" s="33"/>
      <c r="F644" s="33"/>
      <c r="G644" s="33"/>
      <c r="H644" s="33"/>
    </row>
    <row r="645" spans="1:8" s="54" customFormat="1" ht="11.4" customHeight="1" x14ac:dyDescent="0.3">
      <c r="A645" s="33"/>
      <c r="B645" s="33"/>
      <c r="C645" s="33"/>
      <c r="D645" s="33"/>
      <c r="E645" s="33"/>
      <c r="F645" s="33"/>
      <c r="G645" s="33"/>
      <c r="H645" s="33"/>
    </row>
    <row r="646" spans="1:8" s="54" customFormat="1" ht="11.4" customHeight="1" x14ac:dyDescent="0.3">
      <c r="A646" s="33"/>
      <c r="B646" s="33"/>
      <c r="C646" s="33"/>
      <c r="D646" s="33"/>
      <c r="E646" s="33"/>
      <c r="F646" s="33"/>
      <c r="G646" s="33"/>
      <c r="H646" s="33"/>
    </row>
    <row r="647" spans="1:8" s="54" customFormat="1" ht="11.4" customHeight="1" x14ac:dyDescent="0.3">
      <c r="A647" s="33"/>
      <c r="B647" s="33"/>
      <c r="C647" s="33"/>
      <c r="D647" s="33"/>
      <c r="E647" s="33"/>
      <c r="F647" s="33"/>
      <c r="G647" s="33"/>
      <c r="H647" s="33"/>
    </row>
    <row r="648" spans="1:8" s="54" customFormat="1" ht="11.4" customHeight="1" x14ac:dyDescent="0.3">
      <c r="A648" s="33"/>
      <c r="B648" s="33"/>
      <c r="C648" s="33"/>
      <c r="D648" s="33"/>
      <c r="E648" s="33"/>
      <c r="F648" s="33"/>
      <c r="G648" s="33"/>
      <c r="H648" s="33"/>
    </row>
    <row r="649" spans="1:8" s="54" customFormat="1" ht="11.4" customHeight="1" x14ac:dyDescent="0.3">
      <c r="A649" s="33"/>
      <c r="B649" s="33"/>
      <c r="C649" s="33"/>
      <c r="D649" s="33"/>
      <c r="E649" s="33"/>
      <c r="F649" s="33"/>
      <c r="G649" s="33"/>
      <c r="H649" s="33"/>
    </row>
    <row r="650" spans="1:8" s="54" customFormat="1" ht="11.4" customHeight="1" x14ac:dyDescent="0.3">
      <c r="A650" s="33"/>
      <c r="B650" s="33"/>
      <c r="C650" s="33"/>
      <c r="D650" s="33"/>
      <c r="E650" s="33"/>
      <c r="F650" s="33"/>
      <c r="G650" s="33"/>
      <c r="H650" s="33"/>
    </row>
    <row r="651" spans="1:8" s="54" customFormat="1" ht="11.4" customHeight="1" x14ac:dyDescent="0.3">
      <c r="A651" s="33"/>
      <c r="B651" s="33"/>
      <c r="C651" s="33"/>
      <c r="D651" s="33"/>
      <c r="E651" s="33"/>
      <c r="F651" s="33"/>
      <c r="G651" s="33"/>
      <c r="H651" s="33"/>
    </row>
    <row r="652" spans="1:8" s="54" customFormat="1" ht="11.4" customHeight="1" x14ac:dyDescent="0.3">
      <c r="A652" s="33"/>
      <c r="B652" s="33"/>
      <c r="C652" s="33"/>
      <c r="D652" s="33"/>
      <c r="E652" s="33"/>
      <c r="F652" s="33"/>
      <c r="G652" s="33"/>
      <c r="H652" s="33"/>
    </row>
    <row r="653" spans="1:8" s="54" customFormat="1" ht="11.4" customHeight="1" x14ac:dyDescent="0.3">
      <c r="A653" s="33"/>
      <c r="B653" s="33"/>
      <c r="C653" s="33"/>
      <c r="D653" s="33"/>
      <c r="E653" s="33"/>
      <c r="F653" s="33"/>
      <c r="G653" s="33"/>
      <c r="H653" s="33"/>
    </row>
    <row r="654" spans="1:8" s="54" customFormat="1" ht="11.4" customHeight="1" x14ac:dyDescent="0.3">
      <c r="A654" s="33"/>
      <c r="B654" s="33"/>
      <c r="C654" s="33"/>
      <c r="D654" s="33"/>
      <c r="E654" s="33"/>
      <c r="F654" s="33"/>
      <c r="G654" s="33"/>
      <c r="H654" s="33"/>
    </row>
    <row r="655" spans="1:8" s="54" customFormat="1" ht="11.4" customHeight="1" x14ac:dyDescent="0.3">
      <c r="A655" s="33"/>
      <c r="B655" s="33"/>
      <c r="C655" s="33"/>
      <c r="D655" s="33"/>
      <c r="E655" s="33"/>
      <c r="F655" s="33"/>
      <c r="G655" s="33"/>
      <c r="H655" s="33"/>
    </row>
    <row r="656" spans="1:8" s="54" customFormat="1" ht="11.4" customHeight="1" x14ac:dyDescent="0.3">
      <c r="A656" s="33"/>
      <c r="B656" s="33"/>
      <c r="C656" s="33"/>
      <c r="D656" s="33"/>
      <c r="E656" s="33"/>
      <c r="F656" s="33"/>
      <c r="G656" s="33"/>
      <c r="H656" s="33"/>
    </row>
    <row r="657" spans="1:8" s="54" customFormat="1" ht="11.4" customHeight="1" x14ac:dyDescent="0.3">
      <c r="A657" s="33"/>
      <c r="B657" s="33"/>
      <c r="C657" s="33"/>
      <c r="D657" s="33"/>
      <c r="E657" s="33"/>
      <c r="F657" s="33"/>
      <c r="G657" s="33"/>
      <c r="H657" s="33"/>
    </row>
    <row r="658" spans="1:8" s="54" customFormat="1" ht="11.4" customHeight="1" x14ac:dyDescent="0.3">
      <c r="A658" s="33"/>
      <c r="B658" s="33"/>
      <c r="C658" s="33"/>
      <c r="D658" s="33"/>
      <c r="E658" s="33"/>
      <c r="F658" s="33"/>
      <c r="G658" s="33"/>
      <c r="H658" s="33"/>
    </row>
    <row r="659" spans="1:8" s="54" customFormat="1" ht="11.4" customHeight="1" x14ac:dyDescent="0.3">
      <c r="A659" s="33"/>
      <c r="B659" s="33"/>
      <c r="C659" s="33"/>
      <c r="D659" s="33"/>
      <c r="E659" s="33"/>
      <c r="F659" s="33"/>
      <c r="G659" s="33"/>
      <c r="H659" s="33"/>
    </row>
    <row r="660" spans="1:8" s="54" customFormat="1" ht="11.4" customHeight="1" x14ac:dyDescent="0.3">
      <c r="A660" s="33"/>
      <c r="B660" s="33"/>
      <c r="C660" s="33"/>
      <c r="D660" s="33"/>
      <c r="E660" s="33"/>
      <c r="F660" s="33"/>
      <c r="G660" s="33"/>
      <c r="H660" s="33"/>
    </row>
    <row r="661" spans="1:8" s="54" customFormat="1" ht="11.4" customHeight="1" x14ac:dyDescent="0.3">
      <c r="A661" s="33"/>
      <c r="B661" s="33"/>
      <c r="C661" s="33"/>
      <c r="D661" s="33"/>
      <c r="E661" s="33"/>
      <c r="F661" s="33"/>
      <c r="G661" s="33"/>
      <c r="H661" s="33"/>
    </row>
    <row r="662" spans="1:8" s="54" customFormat="1" ht="11.4" customHeight="1" x14ac:dyDescent="0.3">
      <c r="A662" s="33"/>
      <c r="B662" s="33"/>
      <c r="C662" s="33"/>
      <c r="D662" s="33"/>
      <c r="E662" s="33"/>
      <c r="F662" s="33"/>
      <c r="G662" s="33"/>
      <c r="H662" s="33"/>
    </row>
    <row r="663" spans="1:8" s="54" customFormat="1" ht="11.4" customHeight="1" x14ac:dyDescent="0.3">
      <c r="A663" s="33"/>
      <c r="B663" s="33"/>
      <c r="C663" s="33"/>
      <c r="D663" s="33"/>
      <c r="E663" s="33"/>
      <c r="F663" s="33"/>
      <c r="G663" s="33"/>
      <c r="H663" s="33"/>
    </row>
    <row r="664" spans="1:8" s="54" customFormat="1" ht="11.4" customHeight="1" x14ac:dyDescent="0.3">
      <c r="A664" s="33"/>
      <c r="B664" s="33"/>
      <c r="C664" s="33"/>
      <c r="D664" s="33"/>
      <c r="E664" s="33"/>
      <c r="F664" s="33"/>
      <c r="G664" s="33"/>
      <c r="H664" s="33"/>
    </row>
    <row r="665" spans="1:8" s="54" customFormat="1" ht="11.4" customHeight="1" x14ac:dyDescent="0.3">
      <c r="A665" s="33"/>
      <c r="B665" s="33"/>
      <c r="C665" s="33"/>
      <c r="D665" s="33"/>
      <c r="E665" s="33"/>
      <c r="F665" s="33"/>
      <c r="G665" s="33"/>
      <c r="H665" s="33"/>
    </row>
    <row r="666" spans="1:8" s="54" customFormat="1" ht="11.4" customHeight="1" x14ac:dyDescent="0.3">
      <c r="A666" s="33"/>
      <c r="B666" s="33"/>
      <c r="C666" s="33"/>
      <c r="D666" s="33"/>
      <c r="E666" s="33"/>
      <c r="F666" s="33"/>
      <c r="G666" s="33"/>
      <c r="H666" s="33"/>
    </row>
    <row r="667" spans="1:8" s="54" customFormat="1" ht="11.4" customHeight="1" x14ac:dyDescent="0.3">
      <c r="A667" s="33"/>
      <c r="B667" s="33"/>
      <c r="C667" s="33"/>
      <c r="D667" s="33"/>
      <c r="E667" s="33"/>
      <c r="F667" s="33"/>
      <c r="G667" s="33"/>
      <c r="H667" s="33"/>
    </row>
    <row r="668" spans="1:8" s="54" customFormat="1" ht="11.4" customHeight="1" x14ac:dyDescent="0.3">
      <c r="A668" s="33"/>
      <c r="B668" s="33"/>
      <c r="C668" s="33"/>
      <c r="D668" s="33"/>
      <c r="E668" s="33"/>
      <c r="F668" s="33"/>
      <c r="G668" s="33"/>
      <c r="H668" s="33"/>
    </row>
    <row r="669" spans="1:8" s="54" customFormat="1" ht="11.4" customHeight="1" x14ac:dyDescent="0.3">
      <c r="A669" s="33"/>
      <c r="B669" s="33"/>
      <c r="C669" s="33"/>
      <c r="D669" s="33"/>
      <c r="E669" s="33"/>
      <c r="F669" s="33"/>
      <c r="G669" s="33"/>
      <c r="H669" s="33"/>
    </row>
    <row r="670" spans="1:8" s="54" customFormat="1" ht="11.4" customHeight="1" x14ac:dyDescent="0.3">
      <c r="A670" s="33"/>
      <c r="B670" s="33"/>
      <c r="C670" s="33"/>
      <c r="D670" s="33"/>
      <c r="E670" s="33"/>
      <c r="F670" s="33"/>
      <c r="G670" s="33"/>
      <c r="H670" s="33"/>
    </row>
    <row r="671" spans="1:8" s="54" customFormat="1" ht="11.4" customHeight="1" x14ac:dyDescent="0.3">
      <c r="A671" s="33"/>
      <c r="B671" s="33"/>
      <c r="C671" s="33"/>
      <c r="D671" s="33"/>
      <c r="E671" s="33"/>
      <c r="F671" s="33"/>
      <c r="G671" s="33"/>
      <c r="H671" s="33"/>
    </row>
    <row r="672" spans="1:8" s="54" customFormat="1" ht="11.4" customHeight="1" x14ac:dyDescent="0.3">
      <c r="A672" s="33"/>
      <c r="B672" s="33"/>
      <c r="C672" s="33"/>
      <c r="D672" s="33"/>
      <c r="E672" s="33"/>
      <c r="F672" s="33"/>
      <c r="G672" s="33"/>
      <c r="H672" s="33"/>
    </row>
    <row r="673" spans="1:8" s="54" customFormat="1" ht="11.4" customHeight="1" x14ac:dyDescent="0.3">
      <c r="A673" s="33"/>
      <c r="B673" s="33"/>
      <c r="C673" s="33"/>
      <c r="D673" s="33"/>
      <c r="E673" s="33"/>
      <c r="F673" s="33"/>
      <c r="G673" s="33"/>
      <c r="H673" s="33"/>
    </row>
    <row r="674" spans="1:8" s="54" customFormat="1" ht="11.4" customHeight="1" x14ac:dyDescent="0.3">
      <c r="A674" s="33"/>
      <c r="B674" s="33"/>
      <c r="C674" s="33"/>
      <c r="D674" s="33"/>
      <c r="E674" s="33"/>
      <c r="F674" s="33"/>
      <c r="G674" s="33"/>
      <c r="H674" s="33"/>
    </row>
    <row r="675" spans="1:8" s="54" customFormat="1" ht="11.4" customHeight="1" x14ac:dyDescent="0.3">
      <c r="A675" s="33"/>
      <c r="B675" s="33"/>
      <c r="C675" s="33"/>
      <c r="D675" s="33"/>
      <c r="E675" s="33"/>
      <c r="F675" s="33"/>
      <c r="G675" s="33"/>
      <c r="H675" s="33"/>
    </row>
    <row r="676" spans="1:8" s="54" customFormat="1" ht="11.4" customHeight="1" x14ac:dyDescent="0.3">
      <c r="A676" s="33"/>
      <c r="B676" s="33"/>
      <c r="C676" s="33"/>
      <c r="D676" s="33"/>
      <c r="E676" s="33"/>
      <c r="F676" s="33"/>
      <c r="G676" s="33"/>
      <c r="H676" s="33"/>
    </row>
    <row r="677" spans="1:8" s="54" customFormat="1" ht="11.4" customHeight="1" x14ac:dyDescent="0.3">
      <c r="A677" s="33"/>
      <c r="B677" s="33"/>
      <c r="C677" s="33"/>
      <c r="D677" s="33"/>
      <c r="E677" s="33"/>
      <c r="F677" s="33"/>
      <c r="G677" s="33"/>
      <c r="H677" s="33"/>
    </row>
    <row r="678" spans="1:8" s="54" customFormat="1" ht="11.4" customHeight="1" x14ac:dyDescent="0.3">
      <c r="A678" s="33"/>
      <c r="B678" s="33"/>
      <c r="C678" s="33"/>
      <c r="D678" s="33"/>
      <c r="E678" s="33"/>
      <c r="F678" s="33"/>
      <c r="G678" s="33"/>
      <c r="H678" s="33"/>
    </row>
    <row r="679" spans="1:8" s="54" customFormat="1" ht="11.4" customHeight="1" x14ac:dyDescent="0.3">
      <c r="A679" s="33"/>
      <c r="B679" s="33"/>
      <c r="C679" s="33"/>
      <c r="D679" s="33"/>
      <c r="E679" s="33"/>
      <c r="F679" s="33"/>
      <c r="G679" s="33"/>
      <c r="H679" s="33"/>
    </row>
    <row r="680" spans="1:8" s="54" customFormat="1" ht="11.4" customHeight="1" x14ac:dyDescent="0.3">
      <c r="A680" s="33"/>
      <c r="B680" s="33"/>
      <c r="C680" s="33"/>
      <c r="D680" s="33"/>
      <c r="E680" s="33"/>
      <c r="F680" s="33"/>
      <c r="G680" s="33"/>
      <c r="H680" s="33"/>
    </row>
    <row r="681" spans="1:8" s="54" customFormat="1" ht="11.4" customHeight="1" x14ac:dyDescent="0.3">
      <c r="A681" s="33"/>
      <c r="B681" s="33"/>
      <c r="C681" s="33"/>
      <c r="D681" s="33"/>
      <c r="E681" s="33"/>
      <c r="F681" s="33"/>
      <c r="G681" s="33"/>
      <c r="H681" s="33"/>
    </row>
    <row r="682" spans="1:8" s="54" customFormat="1" ht="11.4" customHeight="1" x14ac:dyDescent="0.3">
      <c r="A682" s="33"/>
      <c r="B682" s="33"/>
      <c r="C682" s="33"/>
      <c r="D682" s="33"/>
      <c r="E682" s="33"/>
      <c r="F682" s="33"/>
      <c r="G682" s="33"/>
      <c r="H682" s="33"/>
    </row>
    <row r="683" spans="1:8" s="54" customFormat="1" ht="11.4" customHeight="1" x14ac:dyDescent="0.3">
      <c r="A683" s="33"/>
      <c r="B683" s="33"/>
      <c r="C683" s="33"/>
      <c r="D683" s="33"/>
      <c r="E683" s="33"/>
      <c r="F683" s="33"/>
      <c r="G683" s="33"/>
      <c r="H683" s="33"/>
    </row>
    <row r="684" spans="1:8" s="54" customFormat="1" ht="11.4" customHeight="1" x14ac:dyDescent="0.3">
      <c r="A684" s="33"/>
      <c r="B684" s="33"/>
      <c r="C684" s="33"/>
      <c r="D684" s="33"/>
      <c r="E684" s="33"/>
      <c r="F684" s="33"/>
      <c r="G684" s="33"/>
      <c r="H684" s="33"/>
    </row>
    <row r="685" spans="1:8" s="54" customFormat="1" ht="11.4" customHeight="1" x14ac:dyDescent="0.3">
      <c r="A685" s="33"/>
      <c r="B685" s="33"/>
      <c r="C685" s="33"/>
      <c r="D685" s="33"/>
      <c r="E685" s="33"/>
      <c r="F685" s="33"/>
      <c r="G685" s="33"/>
      <c r="H685" s="33"/>
    </row>
    <row r="686" spans="1:8" s="54" customFormat="1" ht="11.4" customHeight="1" x14ac:dyDescent="0.3">
      <c r="A686" s="33"/>
      <c r="B686" s="33"/>
      <c r="C686" s="33"/>
      <c r="D686" s="33"/>
      <c r="E686" s="33"/>
      <c r="F686" s="33"/>
      <c r="G686" s="33"/>
      <c r="H686" s="33"/>
    </row>
    <row r="687" spans="1:8" s="54" customFormat="1" ht="11.4" customHeight="1" x14ac:dyDescent="0.3">
      <c r="A687" s="33"/>
      <c r="B687" s="33"/>
      <c r="C687" s="33"/>
      <c r="D687" s="33"/>
      <c r="E687" s="33"/>
      <c r="F687" s="33"/>
      <c r="G687" s="33"/>
      <c r="H687" s="33"/>
    </row>
    <row r="688" spans="1:8" s="54" customFormat="1" ht="11.4" customHeight="1" x14ac:dyDescent="0.3">
      <c r="A688" s="33"/>
      <c r="B688" s="33"/>
      <c r="C688" s="33"/>
      <c r="D688" s="33"/>
      <c r="E688" s="33"/>
      <c r="F688" s="33"/>
      <c r="G688" s="33"/>
      <c r="H688" s="33"/>
    </row>
    <row r="689" spans="1:8" s="54" customFormat="1" ht="11.4" customHeight="1" x14ac:dyDescent="0.3">
      <c r="A689" s="33"/>
      <c r="B689" s="33"/>
      <c r="C689" s="33"/>
      <c r="D689" s="33"/>
      <c r="E689" s="33"/>
      <c r="F689" s="33"/>
      <c r="G689" s="33"/>
      <c r="H689" s="33"/>
    </row>
    <row r="690" spans="1:8" s="54" customFormat="1" ht="11.4" customHeight="1" x14ac:dyDescent="0.3">
      <c r="A690" s="33"/>
      <c r="B690" s="33"/>
      <c r="C690" s="33"/>
      <c r="D690" s="33"/>
      <c r="E690" s="33"/>
      <c r="F690" s="33"/>
      <c r="G690" s="33"/>
      <c r="H690" s="33"/>
    </row>
    <row r="691" spans="1:8" s="54" customFormat="1" ht="11.4" customHeight="1" x14ac:dyDescent="0.3">
      <c r="A691" s="33"/>
      <c r="B691" s="33"/>
      <c r="C691" s="33"/>
      <c r="D691" s="33"/>
      <c r="E691" s="33"/>
      <c r="F691" s="33"/>
      <c r="G691" s="33"/>
      <c r="H691" s="33"/>
    </row>
    <row r="692" spans="1:8" s="54" customFormat="1" ht="11.4" customHeight="1" x14ac:dyDescent="0.3">
      <c r="A692" s="33"/>
      <c r="B692" s="33"/>
      <c r="C692" s="33"/>
      <c r="D692" s="33"/>
      <c r="E692" s="33"/>
      <c r="F692" s="33"/>
      <c r="G692" s="33"/>
      <c r="H692" s="33"/>
    </row>
    <row r="693" spans="1:8" s="54" customFormat="1" ht="11.4" customHeight="1" x14ac:dyDescent="0.3">
      <c r="A693" s="33"/>
      <c r="B693" s="33"/>
      <c r="C693" s="33"/>
      <c r="D693" s="33"/>
      <c r="E693" s="33"/>
      <c r="F693" s="33"/>
      <c r="G693" s="33"/>
      <c r="H693" s="33"/>
    </row>
    <row r="694" spans="1:8" s="54" customFormat="1" ht="11.4" customHeight="1" x14ac:dyDescent="0.3">
      <c r="A694" s="33"/>
      <c r="B694" s="33"/>
      <c r="C694" s="33"/>
      <c r="D694" s="33"/>
      <c r="E694" s="33"/>
      <c r="F694" s="33"/>
      <c r="G694" s="33"/>
      <c r="H694" s="33"/>
    </row>
    <row r="695" spans="1:8" s="54" customFormat="1" ht="11.4" customHeight="1" x14ac:dyDescent="0.3">
      <c r="A695" s="33"/>
      <c r="B695" s="33"/>
      <c r="C695" s="33"/>
      <c r="D695" s="33"/>
      <c r="E695" s="33"/>
      <c r="F695" s="33"/>
      <c r="G695" s="33"/>
      <c r="H695" s="33"/>
    </row>
    <row r="696" spans="1:8" s="54" customFormat="1" ht="11.4" customHeight="1" x14ac:dyDescent="0.3">
      <c r="A696" s="33"/>
      <c r="B696" s="33"/>
      <c r="C696" s="33"/>
      <c r="D696" s="33"/>
      <c r="E696" s="33"/>
      <c r="F696" s="33"/>
      <c r="G696" s="33"/>
      <c r="H696" s="33"/>
    </row>
    <row r="697" spans="1:8" s="54" customFormat="1" ht="11.4" customHeight="1" x14ac:dyDescent="0.3">
      <c r="A697" s="33"/>
      <c r="B697" s="33"/>
      <c r="C697" s="33"/>
      <c r="D697" s="33"/>
      <c r="E697" s="33"/>
      <c r="F697" s="33"/>
      <c r="G697" s="33"/>
      <c r="H697" s="33"/>
    </row>
    <row r="698" spans="1:8" s="54" customFormat="1" ht="11.4" customHeight="1" x14ac:dyDescent="0.3">
      <c r="A698" s="33"/>
      <c r="B698" s="33"/>
      <c r="C698" s="33"/>
      <c r="D698" s="33"/>
      <c r="E698" s="33"/>
      <c r="F698" s="33"/>
      <c r="G698" s="33"/>
      <c r="H698" s="33"/>
    </row>
    <row r="699" spans="1:8" s="54" customFormat="1" ht="11.4" customHeight="1" x14ac:dyDescent="0.3">
      <c r="A699" s="33"/>
      <c r="B699" s="33"/>
      <c r="C699" s="33"/>
      <c r="D699" s="33"/>
      <c r="E699" s="33"/>
      <c r="F699" s="33"/>
      <c r="G699" s="33"/>
      <c r="H699" s="33"/>
    </row>
    <row r="700" spans="1:8" s="54" customFormat="1" ht="11.4" customHeight="1" x14ac:dyDescent="0.3">
      <c r="A700" s="33"/>
      <c r="B700" s="33"/>
      <c r="C700" s="33"/>
      <c r="D700" s="33"/>
      <c r="E700" s="33"/>
      <c r="F700" s="33"/>
      <c r="G700" s="33"/>
      <c r="H700" s="33"/>
    </row>
    <row r="701" spans="1:8" s="54" customFormat="1" ht="11.4" customHeight="1" x14ac:dyDescent="0.3">
      <c r="A701" s="33"/>
      <c r="B701" s="33"/>
      <c r="C701" s="33"/>
      <c r="D701" s="33"/>
      <c r="E701" s="33"/>
      <c r="F701" s="33"/>
      <c r="G701" s="33"/>
      <c r="H701" s="33"/>
    </row>
    <row r="702" spans="1:8" s="54" customFormat="1" ht="11.4" customHeight="1" x14ac:dyDescent="0.3">
      <c r="A702" s="33"/>
      <c r="B702" s="33"/>
      <c r="C702" s="33"/>
      <c r="D702" s="33"/>
      <c r="E702" s="33"/>
      <c r="F702" s="33"/>
      <c r="G702" s="33"/>
      <c r="H702" s="33"/>
    </row>
    <row r="703" spans="1:8" s="54" customFormat="1" ht="11.4" customHeight="1" x14ac:dyDescent="0.3">
      <c r="A703" s="33"/>
      <c r="B703" s="33"/>
      <c r="C703" s="33"/>
      <c r="D703" s="33"/>
      <c r="E703" s="33"/>
      <c r="F703" s="33"/>
      <c r="G703" s="33"/>
      <c r="H703" s="33"/>
    </row>
    <row r="704" spans="1:8" s="54" customFormat="1" ht="11.4" customHeight="1" x14ac:dyDescent="0.3">
      <c r="A704" s="33"/>
      <c r="B704" s="33"/>
      <c r="C704" s="33"/>
      <c r="D704" s="33"/>
      <c r="E704" s="33"/>
      <c r="F704" s="33"/>
      <c r="G704" s="33"/>
      <c r="H704" s="33"/>
    </row>
    <row r="705" spans="1:8" s="54" customFormat="1" ht="11.4" customHeight="1" x14ac:dyDescent="0.3">
      <c r="A705" s="33"/>
      <c r="B705" s="33"/>
      <c r="C705" s="33"/>
      <c r="D705" s="33"/>
      <c r="E705" s="33"/>
      <c r="F705" s="33"/>
      <c r="G705" s="33"/>
      <c r="H705" s="33"/>
    </row>
    <row r="706" spans="1:8" s="54" customFormat="1" ht="11.4" customHeight="1" x14ac:dyDescent="0.3">
      <c r="A706" s="33"/>
      <c r="B706" s="33"/>
      <c r="C706" s="33"/>
      <c r="D706" s="33"/>
      <c r="E706" s="33"/>
      <c r="F706" s="33"/>
      <c r="G706" s="33"/>
      <c r="H706" s="33"/>
    </row>
    <row r="707" spans="1:8" s="54" customFormat="1" ht="11.4" customHeight="1" x14ac:dyDescent="0.3">
      <c r="A707" s="33"/>
      <c r="B707" s="33"/>
      <c r="C707" s="33"/>
      <c r="D707" s="33"/>
      <c r="E707" s="33"/>
      <c r="F707" s="33"/>
      <c r="G707" s="33"/>
      <c r="H707" s="33"/>
    </row>
    <row r="708" spans="1:8" s="54" customFormat="1" ht="11.4" customHeight="1" x14ac:dyDescent="0.3">
      <c r="A708" s="33"/>
      <c r="B708" s="33"/>
      <c r="C708" s="33"/>
      <c r="D708" s="33"/>
      <c r="E708" s="33"/>
      <c r="F708" s="33"/>
      <c r="G708" s="33"/>
      <c r="H708" s="33"/>
    </row>
    <row r="709" spans="1:8" s="54" customFormat="1" ht="11.4" customHeight="1" x14ac:dyDescent="0.3">
      <c r="A709" s="33"/>
      <c r="B709" s="33"/>
      <c r="C709" s="33"/>
      <c r="D709" s="33"/>
      <c r="E709" s="33"/>
      <c r="F709" s="33"/>
      <c r="G709" s="33"/>
      <c r="H709" s="33"/>
    </row>
    <row r="710" spans="1:8" s="54" customFormat="1" ht="11.4" customHeight="1" x14ac:dyDescent="0.3">
      <c r="A710" s="33"/>
      <c r="B710" s="33"/>
      <c r="C710" s="33"/>
      <c r="D710" s="33"/>
      <c r="E710" s="33"/>
      <c r="F710" s="33"/>
      <c r="G710" s="33"/>
      <c r="H710" s="33"/>
    </row>
    <row r="711" spans="1:8" s="54" customFormat="1" ht="11.4" customHeight="1" x14ac:dyDescent="0.3">
      <c r="A711" s="33"/>
      <c r="B711" s="33"/>
      <c r="C711" s="33"/>
      <c r="D711" s="33"/>
      <c r="E711" s="33"/>
      <c r="F711" s="33"/>
      <c r="G711" s="33"/>
      <c r="H711" s="33"/>
    </row>
    <row r="712" spans="1:8" s="54" customFormat="1" ht="11.4" customHeight="1" x14ac:dyDescent="0.3">
      <c r="A712" s="33"/>
      <c r="B712" s="33"/>
      <c r="C712" s="33"/>
      <c r="D712" s="33"/>
      <c r="E712" s="33"/>
      <c r="F712" s="33"/>
      <c r="G712" s="33"/>
      <c r="H712" s="33"/>
    </row>
    <row r="713" spans="1:8" s="54" customFormat="1" ht="11.4" customHeight="1" x14ac:dyDescent="0.3">
      <c r="A713" s="33"/>
      <c r="B713" s="33"/>
      <c r="C713" s="33"/>
      <c r="D713" s="33"/>
      <c r="E713" s="33"/>
      <c r="F713" s="33"/>
      <c r="G713" s="33"/>
      <c r="H713" s="33"/>
    </row>
    <row r="714" spans="1:8" s="54" customFormat="1" ht="11.4" customHeight="1" x14ac:dyDescent="0.3">
      <c r="A714" s="33"/>
      <c r="B714" s="33"/>
      <c r="C714" s="33"/>
      <c r="D714" s="33"/>
      <c r="E714" s="33"/>
      <c r="F714" s="33"/>
      <c r="G714" s="33"/>
      <c r="H714" s="33"/>
    </row>
    <row r="715" spans="1:8" s="54" customFormat="1" ht="11.4" customHeight="1" x14ac:dyDescent="0.3">
      <c r="A715" s="33"/>
      <c r="B715" s="33"/>
      <c r="C715" s="33"/>
      <c r="D715" s="33"/>
      <c r="E715" s="33"/>
      <c r="F715" s="33"/>
      <c r="G715" s="33"/>
      <c r="H715" s="33"/>
    </row>
    <row r="716" spans="1:8" s="54" customFormat="1" ht="11.4" customHeight="1" x14ac:dyDescent="0.3">
      <c r="A716" s="33"/>
      <c r="B716" s="33"/>
      <c r="C716" s="33"/>
      <c r="D716" s="33"/>
      <c r="E716" s="33"/>
      <c r="F716" s="33"/>
      <c r="G716" s="33"/>
      <c r="H716" s="33"/>
    </row>
    <row r="717" spans="1:8" s="54" customFormat="1" ht="11.4" customHeight="1" x14ac:dyDescent="0.3">
      <c r="A717" s="33"/>
      <c r="B717" s="33"/>
      <c r="C717" s="33"/>
      <c r="D717" s="33"/>
      <c r="E717" s="33"/>
      <c r="F717" s="33"/>
      <c r="G717" s="33"/>
      <c r="H717" s="33"/>
    </row>
    <row r="718" spans="1:8" s="54" customFormat="1" ht="11.4" customHeight="1" x14ac:dyDescent="0.3">
      <c r="A718" s="33"/>
      <c r="B718" s="33"/>
      <c r="C718" s="33"/>
      <c r="D718" s="33"/>
      <c r="E718" s="33"/>
      <c r="F718" s="33"/>
      <c r="G718" s="33"/>
      <c r="H718" s="33"/>
    </row>
    <row r="719" spans="1:8" s="54" customFormat="1" ht="11.4" customHeight="1" x14ac:dyDescent="0.3">
      <c r="A719" s="33"/>
      <c r="B719" s="33"/>
      <c r="C719" s="33"/>
      <c r="D719" s="33"/>
      <c r="E719" s="33"/>
      <c r="F719" s="33"/>
      <c r="G719" s="33"/>
      <c r="H719" s="33"/>
    </row>
    <row r="720" spans="1:8" s="54" customFormat="1" ht="11.4" customHeight="1" x14ac:dyDescent="0.3">
      <c r="A720" s="33"/>
      <c r="B720" s="33"/>
      <c r="C720" s="33"/>
      <c r="D720" s="33"/>
      <c r="E720" s="33"/>
      <c r="F720" s="33"/>
      <c r="G720" s="33"/>
      <c r="H720" s="33"/>
    </row>
    <row r="721" spans="1:8" s="54" customFormat="1" ht="11.4" customHeight="1" x14ac:dyDescent="0.3">
      <c r="A721" s="33"/>
      <c r="B721" s="33"/>
      <c r="C721" s="33"/>
      <c r="D721" s="33"/>
      <c r="E721" s="33"/>
      <c r="F721" s="33"/>
      <c r="G721" s="33"/>
      <c r="H721" s="33"/>
    </row>
    <row r="722" spans="1:8" s="54" customFormat="1" ht="11.4" customHeight="1" x14ac:dyDescent="0.3">
      <c r="A722" s="33"/>
      <c r="B722" s="33"/>
      <c r="C722" s="33"/>
      <c r="D722" s="33"/>
      <c r="E722" s="33"/>
      <c r="F722" s="33"/>
      <c r="G722" s="33"/>
      <c r="H722" s="33"/>
    </row>
    <row r="723" spans="1:8" s="54" customFormat="1" ht="11.4" customHeight="1" x14ac:dyDescent="0.3">
      <c r="A723" s="33"/>
      <c r="B723" s="33"/>
      <c r="C723" s="33"/>
      <c r="D723" s="33"/>
      <c r="E723" s="33"/>
      <c r="F723" s="33"/>
      <c r="G723" s="33"/>
      <c r="H723" s="33"/>
    </row>
    <row r="724" spans="1:8" s="54" customFormat="1" ht="11.4" customHeight="1" x14ac:dyDescent="0.3">
      <c r="A724" s="33"/>
      <c r="B724" s="33"/>
      <c r="C724" s="33"/>
      <c r="D724" s="33"/>
      <c r="E724" s="33"/>
      <c r="F724" s="33"/>
      <c r="G724" s="33"/>
      <c r="H724" s="33"/>
    </row>
    <row r="725" spans="1:8" s="54" customFormat="1" ht="11.4" customHeight="1" x14ac:dyDescent="0.3">
      <c r="A725" s="33"/>
      <c r="B725" s="33"/>
      <c r="C725" s="33"/>
      <c r="D725" s="33"/>
      <c r="E725" s="33"/>
      <c r="F725" s="33"/>
      <c r="G725" s="33"/>
      <c r="H725" s="33"/>
    </row>
    <row r="726" spans="1:8" s="54" customFormat="1" ht="11.4" customHeight="1" x14ac:dyDescent="0.3">
      <c r="A726" s="33"/>
      <c r="B726" s="33"/>
      <c r="C726" s="33"/>
      <c r="D726" s="33"/>
      <c r="E726" s="33"/>
      <c r="F726" s="33"/>
      <c r="G726" s="33"/>
      <c r="H726" s="33"/>
    </row>
    <row r="727" spans="1:8" s="54" customFormat="1" ht="11.4" customHeight="1" x14ac:dyDescent="0.3">
      <c r="A727" s="33"/>
      <c r="B727" s="33"/>
      <c r="C727" s="33"/>
      <c r="D727" s="33"/>
      <c r="E727" s="33"/>
      <c r="F727" s="33"/>
      <c r="G727" s="33"/>
      <c r="H727" s="33"/>
    </row>
    <row r="728" spans="1:8" s="54" customFormat="1" ht="11.4" customHeight="1" x14ac:dyDescent="0.3">
      <c r="A728" s="33"/>
      <c r="B728" s="33"/>
      <c r="C728" s="33"/>
      <c r="D728" s="33"/>
      <c r="E728" s="33"/>
      <c r="F728" s="33"/>
      <c r="G728" s="33"/>
      <c r="H728" s="33"/>
    </row>
    <row r="729" spans="1:8" s="54" customFormat="1" ht="11.4" customHeight="1" x14ac:dyDescent="0.3">
      <c r="A729" s="33"/>
      <c r="B729" s="33"/>
      <c r="C729" s="33"/>
      <c r="D729" s="33"/>
      <c r="E729" s="33"/>
      <c r="F729" s="33"/>
      <c r="G729" s="33"/>
      <c r="H729" s="33"/>
    </row>
    <row r="730" spans="1:8" s="54" customFormat="1" ht="11.4" customHeight="1" x14ac:dyDescent="0.3">
      <c r="A730" s="33"/>
      <c r="B730" s="33"/>
      <c r="C730" s="33"/>
      <c r="D730" s="33"/>
      <c r="E730" s="33"/>
      <c r="F730" s="33"/>
      <c r="G730" s="33"/>
      <c r="H730" s="33"/>
    </row>
    <row r="731" spans="1:8" s="54" customFormat="1" ht="11.4" customHeight="1" x14ac:dyDescent="0.3">
      <c r="A731" s="33"/>
      <c r="B731" s="33"/>
      <c r="C731" s="33"/>
      <c r="D731" s="33"/>
      <c r="E731" s="33"/>
      <c r="F731" s="33"/>
      <c r="G731" s="33"/>
      <c r="H731" s="33"/>
    </row>
    <row r="732" spans="1:8" s="54" customFormat="1" ht="11.4" customHeight="1" x14ac:dyDescent="0.3">
      <c r="A732" s="33"/>
      <c r="B732" s="33"/>
      <c r="C732" s="33"/>
      <c r="D732" s="33"/>
      <c r="E732" s="33"/>
      <c r="F732" s="33"/>
      <c r="G732" s="33"/>
      <c r="H732" s="33"/>
    </row>
    <row r="733" spans="1:8" s="54" customFormat="1" ht="11.4" customHeight="1" x14ac:dyDescent="0.3">
      <c r="A733" s="33"/>
      <c r="B733" s="33"/>
      <c r="C733" s="33"/>
      <c r="D733" s="33"/>
      <c r="E733" s="33"/>
      <c r="F733" s="33"/>
      <c r="G733" s="33"/>
      <c r="H733" s="33"/>
    </row>
    <row r="734" spans="1:8" s="54" customFormat="1" ht="11.4" customHeight="1" x14ac:dyDescent="0.3">
      <c r="A734" s="33"/>
      <c r="B734" s="33"/>
      <c r="C734" s="33"/>
      <c r="D734" s="33"/>
      <c r="E734" s="33"/>
      <c r="F734" s="33"/>
      <c r="G734" s="33"/>
      <c r="H734" s="33"/>
    </row>
    <row r="735" spans="1:8" s="54" customFormat="1" ht="11.4" customHeight="1" x14ac:dyDescent="0.3">
      <c r="A735" s="33"/>
      <c r="B735" s="33"/>
      <c r="C735" s="33"/>
      <c r="D735" s="33"/>
      <c r="E735" s="33"/>
      <c r="F735" s="33"/>
      <c r="G735" s="33"/>
      <c r="H735" s="33"/>
    </row>
    <row r="736" spans="1:8" s="54" customFormat="1" ht="11.4" customHeight="1" x14ac:dyDescent="0.3">
      <c r="A736" s="33"/>
      <c r="B736" s="33"/>
      <c r="C736" s="33"/>
      <c r="D736" s="33"/>
      <c r="E736" s="33"/>
      <c r="F736" s="33"/>
      <c r="G736" s="33"/>
      <c r="H736" s="33"/>
    </row>
    <row r="737" spans="1:8" s="54" customFormat="1" ht="11.4" customHeight="1" x14ac:dyDescent="0.3">
      <c r="A737" s="33"/>
      <c r="B737" s="33"/>
      <c r="C737" s="33"/>
      <c r="D737" s="33"/>
      <c r="E737" s="33"/>
      <c r="F737" s="33"/>
      <c r="G737" s="33"/>
      <c r="H737" s="33"/>
    </row>
    <row r="738" spans="1:8" s="54" customFormat="1" ht="11.4" customHeight="1" x14ac:dyDescent="0.3">
      <c r="A738" s="33"/>
      <c r="B738" s="33"/>
      <c r="C738" s="33"/>
      <c r="D738" s="33"/>
      <c r="E738" s="33"/>
      <c r="F738" s="33"/>
      <c r="G738" s="33"/>
      <c r="H738" s="33"/>
    </row>
    <row r="739" spans="1:8" s="54" customFormat="1" ht="11.4" customHeight="1" x14ac:dyDescent="0.3">
      <c r="A739" s="33"/>
      <c r="B739" s="33"/>
      <c r="C739" s="33"/>
      <c r="D739" s="33"/>
      <c r="E739" s="33"/>
      <c r="F739" s="33"/>
      <c r="G739" s="33"/>
      <c r="H739" s="33"/>
    </row>
    <row r="740" spans="1:8" s="54" customFormat="1" ht="11.4" customHeight="1" x14ac:dyDescent="0.3">
      <c r="A740" s="33"/>
      <c r="B740" s="33"/>
      <c r="C740" s="33"/>
      <c r="D740" s="33"/>
      <c r="E740" s="33"/>
      <c r="F740" s="33"/>
      <c r="G740" s="33"/>
      <c r="H740" s="33"/>
    </row>
    <row r="741" spans="1:8" s="54" customFormat="1" ht="11.4" customHeight="1" x14ac:dyDescent="0.3">
      <c r="A741" s="33"/>
      <c r="B741" s="33"/>
      <c r="C741" s="33"/>
      <c r="D741" s="33"/>
      <c r="E741" s="33"/>
      <c r="F741" s="33"/>
      <c r="G741" s="33"/>
      <c r="H741" s="33"/>
    </row>
    <row r="742" spans="1:8" s="54" customFormat="1" ht="11.4" customHeight="1" x14ac:dyDescent="0.3">
      <c r="A742" s="33"/>
      <c r="B742" s="33"/>
      <c r="C742" s="33"/>
      <c r="D742" s="33"/>
      <c r="E742" s="33"/>
      <c r="F742" s="33"/>
      <c r="G742" s="33"/>
      <c r="H742" s="33"/>
    </row>
    <row r="743" spans="1:8" s="54" customFormat="1" ht="11.4" customHeight="1" x14ac:dyDescent="0.3">
      <c r="A743" s="33"/>
      <c r="B743" s="33"/>
      <c r="C743" s="33"/>
      <c r="D743" s="33"/>
      <c r="E743" s="33"/>
      <c r="F743" s="33"/>
      <c r="G743" s="33"/>
      <c r="H743" s="33"/>
    </row>
    <row r="744" spans="1:8" s="54" customFormat="1" ht="11.4" customHeight="1" x14ac:dyDescent="0.3">
      <c r="A744" s="33"/>
      <c r="B744" s="33"/>
      <c r="C744" s="33"/>
      <c r="D744" s="33"/>
      <c r="E744" s="33"/>
      <c r="F744" s="33"/>
      <c r="G744" s="33"/>
      <c r="H744" s="33"/>
    </row>
    <row r="745" spans="1:8" s="54" customFormat="1" ht="11.4" customHeight="1" x14ac:dyDescent="0.3">
      <c r="A745" s="33"/>
      <c r="B745" s="33"/>
      <c r="C745" s="33"/>
      <c r="D745" s="33"/>
      <c r="E745" s="33"/>
      <c r="F745" s="33"/>
      <c r="G745" s="33"/>
      <c r="H745" s="33"/>
    </row>
    <row r="746" spans="1:8" s="54" customFormat="1" ht="11.4" customHeight="1" x14ac:dyDescent="0.3">
      <c r="A746" s="33"/>
      <c r="B746" s="33"/>
      <c r="C746" s="33"/>
      <c r="D746" s="33"/>
      <c r="E746" s="33"/>
      <c r="F746" s="33"/>
      <c r="G746" s="33"/>
      <c r="H746" s="33"/>
    </row>
    <row r="747" spans="1:8" s="54" customFormat="1" ht="11.4" customHeight="1" x14ac:dyDescent="0.3">
      <c r="A747" s="33"/>
      <c r="B747" s="33"/>
      <c r="C747" s="33"/>
      <c r="D747" s="33"/>
      <c r="E747" s="33"/>
      <c r="F747" s="33"/>
      <c r="G747" s="33"/>
      <c r="H747" s="33"/>
    </row>
    <row r="748" spans="1:8" s="54" customFormat="1" ht="11.4" customHeight="1" x14ac:dyDescent="0.3">
      <c r="A748" s="33"/>
      <c r="B748" s="33"/>
      <c r="C748" s="33"/>
      <c r="D748" s="33"/>
      <c r="E748" s="33"/>
      <c r="F748" s="33"/>
      <c r="G748" s="33"/>
      <c r="H748" s="33"/>
    </row>
    <row r="749" spans="1:8" s="54" customFormat="1" ht="11.4" customHeight="1" x14ac:dyDescent="0.3">
      <c r="A749" s="33"/>
      <c r="B749" s="33"/>
      <c r="C749" s="33"/>
      <c r="D749" s="33"/>
      <c r="E749" s="33"/>
      <c r="F749" s="33"/>
      <c r="G749" s="33"/>
      <c r="H749" s="33"/>
    </row>
    <row r="750" spans="1:8" s="54" customFormat="1" ht="11.4" customHeight="1" x14ac:dyDescent="0.3">
      <c r="A750" s="33"/>
      <c r="B750" s="33"/>
      <c r="C750" s="33"/>
      <c r="D750" s="33"/>
      <c r="E750" s="33"/>
      <c r="F750" s="33"/>
      <c r="G750" s="33"/>
      <c r="H750" s="33"/>
    </row>
    <row r="751" spans="1:8" s="54" customFormat="1" ht="11.4" customHeight="1" x14ac:dyDescent="0.3">
      <c r="A751" s="33"/>
      <c r="B751" s="33"/>
      <c r="C751" s="33"/>
      <c r="D751" s="33"/>
      <c r="E751" s="33"/>
      <c r="F751" s="33"/>
      <c r="G751" s="33"/>
      <c r="H751" s="33"/>
    </row>
    <row r="752" spans="1:8" s="54" customFormat="1" ht="11.4" customHeight="1" x14ac:dyDescent="0.3">
      <c r="A752" s="33"/>
      <c r="B752" s="33"/>
      <c r="C752" s="33"/>
      <c r="D752" s="33"/>
      <c r="E752" s="33"/>
      <c r="F752" s="33"/>
      <c r="G752" s="33"/>
      <c r="H752" s="33"/>
    </row>
    <row r="753" spans="1:8" s="54" customFormat="1" ht="11.4" customHeight="1" x14ac:dyDescent="0.3">
      <c r="A753" s="33"/>
      <c r="B753" s="33"/>
      <c r="C753" s="33"/>
      <c r="D753" s="33"/>
      <c r="E753" s="33"/>
      <c r="F753" s="33"/>
      <c r="G753" s="33"/>
      <c r="H753" s="33"/>
    </row>
    <row r="754" spans="1:8" s="54" customFormat="1" ht="11.4" customHeight="1" x14ac:dyDescent="0.3">
      <c r="A754" s="33"/>
      <c r="B754" s="33"/>
      <c r="C754" s="33"/>
      <c r="D754" s="33"/>
      <c r="E754" s="33"/>
      <c r="F754" s="33"/>
      <c r="G754" s="33"/>
      <c r="H754" s="33"/>
    </row>
    <row r="755" spans="1:8" s="54" customFormat="1" ht="11.4" customHeight="1" x14ac:dyDescent="0.3">
      <c r="A755" s="33"/>
      <c r="B755" s="33"/>
      <c r="C755" s="33"/>
      <c r="D755" s="33"/>
      <c r="E755" s="33"/>
      <c r="F755" s="33"/>
      <c r="G755" s="33"/>
      <c r="H755" s="33"/>
    </row>
    <row r="756" spans="1:8" s="54" customFormat="1" ht="11.4" customHeight="1" x14ac:dyDescent="0.3">
      <c r="A756" s="33"/>
      <c r="B756" s="33"/>
      <c r="C756" s="33"/>
      <c r="D756" s="33"/>
      <c r="E756" s="33"/>
      <c r="F756" s="33"/>
      <c r="G756" s="33"/>
      <c r="H756" s="33"/>
    </row>
    <row r="757" spans="1:8" s="54" customFormat="1" ht="11.4" customHeight="1" x14ac:dyDescent="0.3">
      <c r="A757" s="33"/>
      <c r="B757" s="33"/>
      <c r="C757" s="33"/>
      <c r="D757" s="33"/>
      <c r="E757" s="33"/>
      <c r="F757" s="33"/>
      <c r="G757" s="33"/>
      <c r="H757" s="33"/>
    </row>
    <row r="758" spans="1:8" s="54" customFormat="1" ht="11.4" customHeight="1" x14ac:dyDescent="0.3">
      <c r="A758" s="33"/>
      <c r="B758" s="33"/>
      <c r="C758" s="33"/>
      <c r="D758" s="33"/>
      <c r="E758" s="33"/>
      <c r="F758" s="33"/>
      <c r="G758" s="33"/>
      <c r="H758" s="33"/>
    </row>
    <row r="759" spans="1:8" s="54" customFormat="1" ht="11.4" customHeight="1" x14ac:dyDescent="0.3">
      <c r="A759" s="33"/>
      <c r="B759" s="33"/>
      <c r="C759" s="33"/>
      <c r="D759" s="33"/>
      <c r="E759" s="33"/>
      <c r="F759" s="33"/>
      <c r="G759" s="33"/>
      <c r="H759" s="33"/>
    </row>
    <row r="760" spans="1:8" s="54" customFormat="1" ht="11.4" customHeight="1" x14ac:dyDescent="0.3">
      <c r="A760" s="33"/>
      <c r="B760" s="33"/>
      <c r="C760" s="33"/>
      <c r="D760" s="33"/>
      <c r="E760" s="33"/>
      <c r="F760" s="33"/>
      <c r="G760" s="33"/>
      <c r="H760" s="33"/>
    </row>
    <row r="761" spans="1:8" s="54" customFormat="1" ht="11.4" customHeight="1" x14ac:dyDescent="0.3">
      <c r="A761" s="33"/>
      <c r="B761" s="33"/>
      <c r="C761" s="33"/>
      <c r="D761" s="33"/>
      <c r="E761" s="33"/>
      <c r="F761" s="33"/>
      <c r="G761" s="33"/>
      <c r="H761" s="33"/>
    </row>
    <row r="762" spans="1:8" s="54" customFormat="1" ht="11.4" customHeight="1" x14ac:dyDescent="0.3">
      <c r="A762" s="33"/>
      <c r="B762" s="33"/>
      <c r="C762" s="33"/>
      <c r="D762" s="33"/>
      <c r="E762" s="33"/>
      <c r="F762" s="33"/>
      <c r="G762" s="33"/>
      <c r="H762" s="33"/>
    </row>
    <row r="763" spans="1:8" s="54" customFormat="1" ht="11.4" customHeight="1" x14ac:dyDescent="0.3">
      <c r="A763" s="33"/>
      <c r="B763" s="33"/>
      <c r="C763" s="33"/>
      <c r="D763" s="33"/>
      <c r="E763" s="33"/>
      <c r="F763" s="33"/>
      <c r="G763" s="33"/>
      <c r="H763" s="33"/>
    </row>
    <row r="764" spans="1:8" s="54" customFormat="1" ht="11.4" customHeight="1" x14ac:dyDescent="0.3">
      <c r="A764" s="33"/>
      <c r="B764" s="33"/>
      <c r="C764" s="33"/>
      <c r="D764" s="33"/>
      <c r="E764" s="33"/>
      <c r="F764" s="33"/>
      <c r="G764" s="33"/>
      <c r="H764" s="33"/>
    </row>
    <row r="765" spans="1:8" s="54" customFormat="1" ht="11.4" customHeight="1" x14ac:dyDescent="0.3">
      <c r="A765" s="33"/>
      <c r="B765" s="33"/>
      <c r="C765" s="33"/>
      <c r="D765" s="33"/>
      <c r="E765" s="33"/>
      <c r="F765" s="33"/>
      <c r="G765" s="33"/>
      <c r="H765" s="33"/>
    </row>
    <row r="766" spans="1:8" s="54" customFormat="1" ht="11.4" customHeight="1" x14ac:dyDescent="0.3">
      <c r="A766" s="33"/>
      <c r="B766" s="33"/>
      <c r="C766" s="33"/>
      <c r="D766" s="33"/>
      <c r="E766" s="33"/>
      <c r="F766" s="33"/>
      <c r="G766" s="33"/>
      <c r="H766" s="33"/>
    </row>
    <row r="767" spans="1:8" s="54" customFormat="1" ht="11.4" customHeight="1" x14ac:dyDescent="0.3">
      <c r="A767" s="33"/>
      <c r="B767" s="33"/>
      <c r="C767" s="33"/>
      <c r="D767" s="33"/>
      <c r="E767" s="33"/>
      <c r="F767" s="33"/>
      <c r="G767" s="33"/>
      <c r="H767" s="33"/>
    </row>
    <row r="768" spans="1:8" s="54" customFormat="1" ht="11.4" customHeight="1" x14ac:dyDescent="0.3">
      <c r="A768" s="33"/>
      <c r="B768" s="33"/>
      <c r="C768" s="33"/>
      <c r="D768" s="33"/>
      <c r="E768" s="33"/>
      <c r="F768" s="33"/>
      <c r="G768" s="33"/>
      <c r="H768" s="33"/>
    </row>
    <row r="769" spans="1:8" s="54" customFormat="1" ht="11.4" customHeight="1" x14ac:dyDescent="0.3">
      <c r="A769" s="33"/>
      <c r="B769" s="33"/>
      <c r="C769" s="33"/>
      <c r="D769" s="33"/>
      <c r="E769" s="33"/>
      <c r="F769" s="33"/>
      <c r="G769" s="33"/>
      <c r="H769" s="33"/>
    </row>
    <row r="770" spans="1:8" s="54" customFormat="1" ht="11.4" customHeight="1" x14ac:dyDescent="0.3">
      <c r="A770" s="33"/>
      <c r="B770" s="33"/>
      <c r="C770" s="33"/>
      <c r="D770" s="33"/>
      <c r="E770" s="33"/>
      <c r="F770" s="33"/>
      <c r="G770" s="33"/>
      <c r="H770" s="33"/>
    </row>
    <row r="771" spans="1:8" s="54" customFormat="1" ht="11.4" customHeight="1" x14ac:dyDescent="0.3">
      <c r="A771" s="33"/>
      <c r="B771" s="33"/>
      <c r="C771" s="33"/>
      <c r="D771" s="33"/>
      <c r="E771" s="33"/>
      <c r="F771" s="33"/>
      <c r="G771" s="33"/>
      <c r="H771" s="33"/>
    </row>
    <row r="772" spans="1:8" s="54" customFormat="1" ht="11.4" customHeight="1" x14ac:dyDescent="0.3">
      <c r="A772" s="33"/>
      <c r="B772" s="33"/>
      <c r="C772" s="33"/>
      <c r="D772" s="33"/>
      <c r="E772" s="33"/>
      <c r="F772" s="33"/>
      <c r="G772" s="33"/>
      <c r="H772" s="33"/>
    </row>
    <row r="773" spans="1:8" s="54" customFormat="1" ht="11.4" customHeight="1" x14ac:dyDescent="0.3">
      <c r="A773" s="33"/>
      <c r="B773" s="33"/>
      <c r="C773" s="33"/>
      <c r="D773" s="33"/>
      <c r="E773" s="33"/>
      <c r="F773" s="33"/>
      <c r="G773" s="33"/>
      <c r="H773" s="33"/>
    </row>
    <row r="774" spans="1:8" s="54" customFormat="1" ht="11.4" customHeight="1" x14ac:dyDescent="0.3">
      <c r="A774" s="33"/>
      <c r="B774" s="33"/>
      <c r="C774" s="33"/>
      <c r="D774" s="33"/>
      <c r="E774" s="33"/>
      <c r="F774" s="33"/>
      <c r="G774" s="33"/>
      <c r="H774" s="33"/>
    </row>
    <row r="775" spans="1:8" s="54" customFormat="1" ht="11.4" customHeight="1" x14ac:dyDescent="0.3">
      <c r="A775" s="33"/>
      <c r="B775" s="33"/>
      <c r="C775" s="33"/>
      <c r="D775" s="33"/>
      <c r="E775" s="33"/>
      <c r="F775" s="33"/>
      <c r="G775" s="33"/>
      <c r="H775" s="33"/>
    </row>
    <row r="776" spans="1:8" s="54" customFormat="1" ht="11.4" customHeight="1" x14ac:dyDescent="0.3">
      <c r="A776" s="33"/>
      <c r="B776" s="33"/>
      <c r="C776" s="33"/>
      <c r="D776" s="33"/>
      <c r="E776" s="33"/>
      <c r="F776" s="33"/>
      <c r="G776" s="33"/>
      <c r="H776" s="33"/>
    </row>
    <row r="777" spans="1:8" s="54" customFormat="1" ht="11.4" customHeight="1" x14ac:dyDescent="0.3">
      <c r="A777" s="33"/>
      <c r="B777" s="33"/>
      <c r="C777" s="33"/>
      <c r="D777" s="33"/>
      <c r="E777" s="33"/>
      <c r="F777" s="33"/>
      <c r="G777" s="33"/>
      <c r="H777" s="33"/>
    </row>
    <row r="778" spans="1:8" s="54" customFormat="1" ht="11.4" customHeight="1" x14ac:dyDescent="0.3">
      <c r="A778" s="33"/>
      <c r="B778" s="33"/>
      <c r="C778" s="33"/>
      <c r="D778" s="33"/>
      <c r="E778" s="33"/>
      <c r="F778" s="33"/>
      <c r="G778" s="33"/>
      <c r="H778" s="33"/>
    </row>
    <row r="779" spans="1:8" s="54" customFormat="1" ht="11.4" customHeight="1" x14ac:dyDescent="0.3">
      <c r="A779" s="33"/>
      <c r="B779" s="33"/>
      <c r="C779" s="33"/>
      <c r="D779" s="33"/>
      <c r="E779" s="33"/>
      <c r="F779" s="33"/>
      <c r="G779" s="33"/>
      <c r="H779" s="33"/>
    </row>
    <row r="780" spans="1:8" s="54" customFormat="1" ht="11.4" customHeight="1" x14ac:dyDescent="0.3">
      <c r="A780" s="33"/>
      <c r="B780" s="33"/>
      <c r="C780" s="33"/>
      <c r="D780" s="33"/>
      <c r="E780" s="33"/>
      <c r="F780" s="33"/>
      <c r="G780" s="33"/>
      <c r="H780" s="33"/>
    </row>
    <row r="781" spans="1:8" s="54" customFormat="1" ht="11.4" customHeight="1" x14ac:dyDescent="0.3">
      <c r="A781" s="33"/>
      <c r="B781" s="33"/>
      <c r="C781" s="33"/>
      <c r="D781" s="33"/>
      <c r="E781" s="33"/>
      <c r="F781" s="33"/>
      <c r="G781" s="33"/>
      <c r="H781" s="33"/>
    </row>
    <row r="782" spans="1:8" s="54" customFormat="1" ht="11.4" customHeight="1" x14ac:dyDescent="0.3">
      <c r="A782" s="33"/>
      <c r="B782" s="33"/>
      <c r="C782" s="33"/>
      <c r="D782" s="33"/>
      <c r="E782" s="33"/>
      <c r="F782" s="33"/>
      <c r="G782" s="33"/>
      <c r="H782" s="33"/>
    </row>
    <row r="783" spans="1:8" s="54" customFormat="1" ht="11.4" customHeight="1" x14ac:dyDescent="0.3">
      <c r="A783" s="33"/>
      <c r="B783" s="33"/>
      <c r="C783" s="33"/>
      <c r="D783" s="33"/>
      <c r="E783" s="33"/>
      <c r="F783" s="33"/>
      <c r="G783" s="33"/>
      <c r="H783" s="33"/>
    </row>
    <row r="784" spans="1:8" s="54" customFormat="1" ht="11.4" customHeight="1" x14ac:dyDescent="0.3">
      <c r="A784" s="33"/>
      <c r="B784" s="33"/>
      <c r="C784" s="33"/>
      <c r="D784" s="33"/>
      <c r="E784" s="33"/>
      <c r="F784" s="33"/>
      <c r="G784" s="33"/>
      <c r="H784" s="33"/>
    </row>
    <row r="785" spans="1:8" s="54" customFormat="1" ht="11.4" customHeight="1" x14ac:dyDescent="0.3">
      <c r="A785" s="33"/>
      <c r="B785" s="33"/>
      <c r="C785" s="33"/>
      <c r="D785" s="33"/>
      <c r="E785" s="33"/>
      <c r="F785" s="33"/>
      <c r="G785" s="33"/>
      <c r="H785" s="33"/>
    </row>
    <row r="786" spans="1:8" s="54" customFormat="1" ht="11.4" customHeight="1" x14ac:dyDescent="0.3">
      <c r="A786" s="33"/>
      <c r="B786" s="33"/>
      <c r="C786" s="33"/>
      <c r="D786" s="33"/>
      <c r="E786" s="33"/>
      <c r="F786" s="33"/>
      <c r="G786" s="33"/>
      <c r="H786" s="33"/>
    </row>
    <row r="787" spans="1:8" s="54" customFormat="1" ht="11.4" customHeight="1" x14ac:dyDescent="0.3">
      <c r="A787" s="33"/>
      <c r="B787" s="33"/>
      <c r="C787" s="33"/>
      <c r="D787" s="33"/>
      <c r="E787" s="33"/>
      <c r="F787" s="33"/>
      <c r="G787" s="33"/>
      <c r="H787" s="33"/>
    </row>
    <row r="788" spans="1:8" s="54" customFormat="1" ht="11.4" customHeight="1" x14ac:dyDescent="0.3">
      <c r="A788" s="33"/>
      <c r="B788" s="33"/>
      <c r="C788" s="33"/>
      <c r="D788" s="33"/>
      <c r="E788" s="33"/>
      <c r="F788" s="33"/>
      <c r="G788" s="33"/>
      <c r="H788" s="33"/>
    </row>
    <row r="789" spans="1:8" s="54" customFormat="1" ht="11.4" customHeight="1" x14ac:dyDescent="0.3">
      <c r="A789" s="33"/>
      <c r="B789" s="33"/>
      <c r="C789" s="33"/>
      <c r="D789" s="33"/>
      <c r="E789" s="33"/>
      <c r="F789" s="33"/>
      <c r="G789" s="33"/>
      <c r="H789" s="33"/>
    </row>
    <row r="790" spans="1:8" s="54" customFormat="1" ht="11.4" customHeight="1" x14ac:dyDescent="0.3">
      <c r="A790" s="33"/>
      <c r="B790" s="33"/>
      <c r="C790" s="33"/>
      <c r="D790" s="33"/>
      <c r="E790" s="33"/>
      <c r="F790" s="33"/>
      <c r="G790" s="33"/>
      <c r="H790" s="33"/>
    </row>
    <row r="791" spans="1:8" s="54" customFormat="1" ht="11.4" customHeight="1" x14ac:dyDescent="0.3">
      <c r="A791" s="33"/>
      <c r="B791" s="33"/>
      <c r="C791" s="33"/>
      <c r="D791" s="33"/>
      <c r="E791" s="33"/>
      <c r="F791" s="33"/>
      <c r="G791" s="33"/>
      <c r="H791" s="33"/>
    </row>
    <row r="792" spans="1:8" s="54" customFormat="1" ht="11.4" customHeight="1" x14ac:dyDescent="0.3">
      <c r="A792" s="33"/>
      <c r="B792" s="33"/>
      <c r="C792" s="33"/>
      <c r="D792" s="33"/>
      <c r="E792" s="33"/>
      <c r="F792" s="33"/>
      <c r="G792" s="33"/>
      <c r="H792" s="33"/>
    </row>
    <row r="793" spans="1:8" s="54" customFormat="1" ht="11.4" customHeight="1" x14ac:dyDescent="0.3">
      <c r="A793" s="33"/>
      <c r="B793" s="33"/>
      <c r="C793" s="33"/>
      <c r="D793" s="33"/>
      <c r="E793" s="33"/>
      <c r="F793" s="33"/>
      <c r="G793" s="33"/>
      <c r="H793" s="33"/>
    </row>
    <row r="794" spans="1:8" s="54" customFormat="1" ht="11.4" customHeight="1" x14ac:dyDescent="0.3">
      <c r="A794" s="33"/>
      <c r="B794" s="33"/>
      <c r="C794" s="33"/>
      <c r="D794" s="33"/>
      <c r="E794" s="33"/>
      <c r="F794" s="33"/>
      <c r="G794" s="33"/>
      <c r="H794" s="33"/>
    </row>
    <row r="795" spans="1:8" s="54" customFormat="1" ht="11.4" customHeight="1" x14ac:dyDescent="0.3">
      <c r="A795" s="33"/>
      <c r="B795" s="33"/>
      <c r="C795" s="33"/>
      <c r="D795" s="33"/>
      <c r="E795" s="33"/>
      <c r="F795" s="33"/>
      <c r="G795" s="33"/>
      <c r="H795" s="33"/>
    </row>
    <row r="796" spans="1:8" s="54" customFormat="1" ht="11.4" customHeight="1" x14ac:dyDescent="0.3">
      <c r="A796" s="33"/>
      <c r="B796" s="33"/>
      <c r="C796" s="33"/>
      <c r="D796" s="33"/>
      <c r="E796" s="33"/>
      <c r="F796" s="33"/>
      <c r="G796" s="33"/>
      <c r="H796" s="33"/>
    </row>
    <row r="797" spans="1:8" s="54" customFormat="1" ht="11.4" customHeight="1" x14ac:dyDescent="0.3">
      <c r="A797" s="33"/>
      <c r="B797" s="33"/>
      <c r="C797" s="33"/>
      <c r="D797" s="33"/>
      <c r="E797" s="33"/>
      <c r="F797" s="33"/>
      <c r="G797" s="33"/>
      <c r="H797" s="33"/>
    </row>
    <row r="798" spans="1:8" s="54" customFormat="1" ht="11.4" customHeight="1" x14ac:dyDescent="0.3">
      <c r="A798" s="33"/>
      <c r="B798" s="33"/>
      <c r="C798" s="33"/>
      <c r="D798" s="33"/>
      <c r="E798" s="33"/>
      <c r="F798" s="33"/>
      <c r="G798" s="33"/>
      <c r="H798" s="33"/>
    </row>
    <row r="799" spans="1:8" s="54" customFormat="1" ht="11.4" customHeight="1" x14ac:dyDescent="0.3">
      <c r="A799" s="33"/>
      <c r="B799" s="33"/>
      <c r="C799" s="33"/>
      <c r="D799" s="33"/>
      <c r="E799" s="33"/>
      <c r="F799" s="33"/>
      <c r="G799" s="33"/>
      <c r="H799" s="33"/>
    </row>
    <row r="800" spans="1:8" s="54" customFormat="1" ht="11.4" customHeight="1" x14ac:dyDescent="0.3">
      <c r="A800" s="33"/>
      <c r="B800" s="33"/>
      <c r="C800" s="33"/>
      <c r="D800" s="33"/>
      <c r="E800" s="33"/>
      <c r="F800" s="33"/>
      <c r="G800" s="33"/>
      <c r="H800" s="33"/>
    </row>
    <row r="801" spans="1:8" s="54" customFormat="1" ht="11.4" customHeight="1" x14ac:dyDescent="0.3">
      <c r="A801" s="33"/>
      <c r="B801" s="33"/>
      <c r="C801" s="33"/>
      <c r="D801" s="33"/>
      <c r="E801" s="33"/>
      <c r="F801" s="33"/>
      <c r="G801" s="33"/>
      <c r="H801" s="33"/>
    </row>
    <row r="802" spans="1:8" s="54" customFormat="1" ht="11.4" customHeight="1" x14ac:dyDescent="0.3">
      <c r="A802" s="33"/>
      <c r="B802" s="33"/>
      <c r="C802" s="33"/>
      <c r="D802" s="33"/>
      <c r="E802" s="33"/>
      <c r="F802" s="33"/>
      <c r="G802" s="33"/>
      <c r="H802" s="33"/>
    </row>
    <row r="803" spans="1:8" s="54" customFormat="1" ht="11.4" customHeight="1" x14ac:dyDescent="0.3">
      <c r="A803" s="33"/>
      <c r="B803" s="33"/>
      <c r="C803" s="33"/>
      <c r="D803" s="33"/>
      <c r="E803" s="33"/>
      <c r="F803" s="33"/>
      <c r="G803" s="33"/>
      <c r="H803" s="33"/>
    </row>
    <row r="804" spans="1:8" s="54" customFormat="1" ht="11.4" customHeight="1" x14ac:dyDescent="0.3">
      <c r="A804" s="33"/>
      <c r="B804" s="33"/>
      <c r="C804" s="33"/>
      <c r="D804" s="33"/>
      <c r="E804" s="33"/>
      <c r="F804" s="33"/>
      <c r="G804" s="33"/>
      <c r="H804" s="33"/>
    </row>
    <row r="805" spans="1:8" s="54" customFormat="1" ht="11.4" customHeight="1" x14ac:dyDescent="0.3">
      <c r="A805" s="33"/>
      <c r="B805" s="33"/>
      <c r="C805" s="33"/>
      <c r="D805" s="33"/>
      <c r="E805" s="33"/>
      <c r="F805" s="33"/>
      <c r="G805" s="33"/>
      <c r="H805" s="33"/>
    </row>
    <row r="806" spans="1:8" s="54" customFormat="1" ht="11.4" customHeight="1" x14ac:dyDescent="0.3">
      <c r="A806" s="33"/>
      <c r="B806" s="33"/>
      <c r="C806" s="33"/>
      <c r="D806" s="33"/>
      <c r="E806" s="33"/>
      <c r="F806" s="33"/>
      <c r="G806" s="33"/>
      <c r="H806" s="33"/>
    </row>
    <row r="807" spans="1:8" s="54" customFormat="1" ht="11.4" customHeight="1" x14ac:dyDescent="0.3">
      <c r="A807" s="33"/>
      <c r="B807" s="33"/>
      <c r="C807" s="33"/>
      <c r="D807" s="33"/>
      <c r="E807" s="33"/>
      <c r="F807" s="33"/>
      <c r="G807" s="33"/>
      <c r="H807" s="33"/>
    </row>
    <row r="808" spans="1:8" s="54" customFormat="1" ht="11.4" customHeight="1" x14ac:dyDescent="0.3">
      <c r="A808" s="33"/>
      <c r="B808" s="33"/>
      <c r="C808" s="33"/>
      <c r="D808" s="33"/>
      <c r="E808" s="33"/>
      <c r="F808" s="33"/>
      <c r="G808" s="33"/>
      <c r="H808" s="33"/>
    </row>
    <row r="809" spans="1:8" s="54" customFormat="1" ht="11.4" customHeight="1" x14ac:dyDescent="0.3">
      <c r="A809" s="33"/>
      <c r="B809" s="33"/>
      <c r="C809" s="33"/>
      <c r="D809" s="33"/>
      <c r="E809" s="33"/>
      <c r="F809" s="33"/>
      <c r="G809" s="33"/>
      <c r="H809" s="33"/>
    </row>
    <row r="810" spans="1:8" s="54" customFormat="1" ht="11.4" customHeight="1" x14ac:dyDescent="0.3">
      <c r="A810" s="33"/>
      <c r="B810" s="33"/>
      <c r="C810" s="33"/>
      <c r="D810" s="33"/>
      <c r="E810" s="33"/>
      <c r="F810" s="33"/>
      <c r="G810" s="33"/>
      <c r="H810" s="33"/>
    </row>
    <row r="811" spans="1:8" s="54" customFormat="1" ht="11.4" customHeight="1" x14ac:dyDescent="0.3">
      <c r="A811" s="33"/>
      <c r="B811" s="33"/>
      <c r="C811" s="33"/>
      <c r="D811" s="33"/>
      <c r="E811" s="33"/>
      <c r="F811" s="33"/>
      <c r="G811" s="33"/>
      <c r="H811" s="33"/>
    </row>
    <row r="812" spans="1:8" s="54" customFormat="1" ht="11.4" customHeight="1" x14ac:dyDescent="0.3">
      <c r="A812" s="33"/>
      <c r="B812" s="33"/>
      <c r="C812" s="33"/>
      <c r="D812" s="33"/>
      <c r="E812" s="33"/>
      <c r="F812" s="33"/>
      <c r="G812" s="33"/>
      <c r="H812" s="33"/>
    </row>
    <row r="813" spans="1:8" s="54" customFormat="1" ht="11.4" customHeight="1" x14ac:dyDescent="0.3">
      <c r="A813" s="33"/>
      <c r="B813" s="33"/>
      <c r="C813" s="33"/>
      <c r="D813" s="33"/>
      <c r="E813" s="33"/>
      <c r="F813" s="33"/>
      <c r="G813" s="33"/>
      <c r="H813" s="33"/>
    </row>
    <row r="814" spans="1:8" s="54" customFormat="1" ht="11.4" customHeight="1" x14ac:dyDescent="0.3">
      <c r="A814" s="33"/>
      <c r="B814" s="33"/>
      <c r="C814" s="33"/>
      <c r="D814" s="33"/>
      <c r="E814" s="33"/>
      <c r="F814" s="33"/>
      <c r="G814" s="33"/>
      <c r="H814" s="33"/>
    </row>
    <row r="815" spans="1:8" s="54" customFormat="1" ht="11.4" customHeight="1" x14ac:dyDescent="0.3">
      <c r="A815" s="33"/>
      <c r="B815" s="33"/>
      <c r="C815" s="33"/>
      <c r="D815" s="33"/>
      <c r="E815" s="33"/>
      <c r="F815" s="33"/>
      <c r="G815" s="33"/>
      <c r="H815" s="33"/>
    </row>
    <row r="816" spans="1:8" s="54" customFormat="1" ht="11.4" customHeight="1" x14ac:dyDescent="0.3">
      <c r="A816" s="33"/>
      <c r="B816" s="33"/>
      <c r="C816" s="33"/>
      <c r="D816" s="33"/>
      <c r="E816" s="33"/>
      <c r="F816" s="33"/>
      <c r="G816" s="33"/>
      <c r="H816" s="33"/>
    </row>
    <row r="817" spans="1:8" s="54" customFormat="1" ht="11.4" customHeight="1" x14ac:dyDescent="0.3">
      <c r="A817" s="33"/>
      <c r="B817" s="33"/>
      <c r="C817" s="33"/>
      <c r="D817" s="33"/>
      <c r="E817" s="33"/>
      <c r="F817" s="33"/>
      <c r="G817" s="33"/>
      <c r="H817" s="33"/>
    </row>
    <row r="818" spans="1:8" s="54" customFormat="1" ht="11.4" customHeight="1" x14ac:dyDescent="0.3">
      <c r="A818" s="33"/>
      <c r="B818" s="33"/>
      <c r="C818" s="33"/>
      <c r="D818" s="33"/>
      <c r="E818" s="33"/>
      <c r="F818" s="33"/>
      <c r="G818" s="33"/>
      <c r="H818" s="33"/>
    </row>
    <row r="819" spans="1:8" s="54" customFormat="1" ht="11.4" customHeight="1" x14ac:dyDescent="0.3">
      <c r="A819" s="33"/>
      <c r="B819" s="33"/>
      <c r="C819" s="33"/>
      <c r="D819" s="33"/>
      <c r="E819" s="33"/>
      <c r="F819" s="33"/>
      <c r="G819" s="33"/>
      <c r="H819" s="33"/>
    </row>
    <row r="820" spans="1:8" s="54" customFormat="1" ht="11.4" customHeight="1" x14ac:dyDescent="0.3">
      <c r="A820" s="33"/>
      <c r="B820" s="33"/>
      <c r="C820" s="33"/>
      <c r="D820" s="33"/>
      <c r="E820" s="33"/>
      <c r="F820" s="33"/>
      <c r="G820" s="33"/>
      <c r="H820" s="33"/>
    </row>
    <row r="821" spans="1:8" s="54" customFormat="1" ht="11.4" customHeight="1" x14ac:dyDescent="0.3">
      <c r="A821" s="33"/>
      <c r="B821" s="33"/>
      <c r="C821" s="33"/>
      <c r="D821" s="33"/>
      <c r="E821" s="33"/>
      <c r="F821" s="33"/>
      <c r="G821" s="33"/>
      <c r="H821" s="33"/>
    </row>
    <row r="822" spans="1:8" s="54" customFormat="1" ht="11.4" customHeight="1" x14ac:dyDescent="0.3">
      <c r="A822" s="33"/>
      <c r="B822" s="33"/>
      <c r="C822" s="33"/>
      <c r="D822" s="33"/>
      <c r="E822" s="33"/>
      <c r="F822" s="33"/>
      <c r="G822" s="33"/>
      <c r="H822" s="33"/>
    </row>
    <row r="823" spans="1:8" s="54" customFormat="1" ht="11.4" customHeight="1" x14ac:dyDescent="0.3">
      <c r="A823" s="33"/>
      <c r="B823" s="33"/>
      <c r="C823" s="33"/>
      <c r="D823" s="33"/>
      <c r="E823" s="33"/>
      <c r="F823" s="33"/>
      <c r="G823" s="33"/>
      <c r="H823" s="33"/>
    </row>
    <row r="824" spans="1:8" s="54" customFormat="1" ht="11.4" customHeight="1" x14ac:dyDescent="0.3">
      <c r="A824" s="33"/>
      <c r="B824" s="33"/>
      <c r="C824" s="33"/>
      <c r="D824" s="33"/>
      <c r="E824" s="33"/>
      <c r="F824" s="33"/>
      <c r="G824" s="33"/>
      <c r="H824" s="33"/>
    </row>
    <row r="825" spans="1:8" s="54" customFormat="1" ht="11.4" customHeight="1" x14ac:dyDescent="0.3">
      <c r="A825" s="33"/>
      <c r="B825" s="33"/>
      <c r="C825" s="33"/>
      <c r="D825" s="33"/>
      <c r="E825" s="33"/>
      <c r="F825" s="33"/>
      <c r="G825" s="33"/>
      <c r="H825" s="33"/>
    </row>
    <row r="826" spans="1:8" s="54" customFormat="1" ht="11.4" customHeight="1" x14ac:dyDescent="0.3">
      <c r="A826" s="33"/>
      <c r="B826" s="33"/>
      <c r="C826" s="33"/>
      <c r="D826" s="33"/>
      <c r="E826" s="33"/>
      <c r="F826" s="33"/>
      <c r="G826" s="33"/>
      <c r="H826" s="33"/>
    </row>
    <row r="827" spans="1:8" s="54" customFormat="1" ht="11.4" customHeight="1" x14ac:dyDescent="0.3">
      <c r="A827" s="33"/>
      <c r="B827" s="33"/>
      <c r="C827" s="33"/>
      <c r="D827" s="33"/>
      <c r="E827" s="33"/>
      <c r="F827" s="33"/>
      <c r="G827" s="33"/>
      <c r="H827" s="33"/>
    </row>
    <row r="828" spans="1:8" s="54" customFormat="1" ht="11.4" customHeight="1" x14ac:dyDescent="0.3">
      <c r="A828" s="33"/>
      <c r="B828" s="33"/>
      <c r="C828" s="33"/>
      <c r="D828" s="33"/>
      <c r="E828" s="33"/>
      <c r="F828" s="33"/>
      <c r="G828" s="33"/>
      <c r="H828" s="33"/>
    </row>
    <row r="829" spans="1:8" s="54" customFormat="1" ht="11.4" customHeight="1" x14ac:dyDescent="0.3">
      <c r="A829" s="33"/>
      <c r="B829" s="33"/>
      <c r="C829" s="33"/>
      <c r="D829" s="33"/>
      <c r="E829" s="33"/>
      <c r="F829" s="33"/>
      <c r="G829" s="33"/>
      <c r="H829" s="33"/>
    </row>
    <row r="830" spans="1:8" s="54" customFormat="1" ht="11.4" customHeight="1" x14ac:dyDescent="0.3">
      <c r="A830" s="33"/>
      <c r="B830" s="33"/>
      <c r="C830" s="33"/>
      <c r="D830" s="33"/>
      <c r="E830" s="33"/>
      <c r="F830" s="33"/>
      <c r="G830" s="33"/>
      <c r="H830" s="33"/>
    </row>
    <row r="831" spans="1:8" s="54" customFormat="1" ht="11.4" customHeight="1" x14ac:dyDescent="0.3">
      <c r="A831" s="33"/>
      <c r="B831" s="33"/>
      <c r="C831" s="33"/>
      <c r="D831" s="33"/>
      <c r="E831" s="33"/>
      <c r="F831" s="33"/>
      <c r="G831" s="33"/>
      <c r="H831" s="33"/>
    </row>
    <row r="832" spans="1:8" s="54" customFormat="1" ht="11.4" customHeight="1" x14ac:dyDescent="0.3">
      <c r="A832" s="33"/>
      <c r="B832" s="33"/>
      <c r="C832" s="33"/>
      <c r="D832" s="33"/>
      <c r="E832" s="33"/>
      <c r="F832" s="33"/>
      <c r="G832" s="33"/>
      <c r="H832" s="33"/>
    </row>
    <row r="833" spans="1:8" s="54" customFormat="1" ht="11.4" customHeight="1" x14ac:dyDescent="0.3">
      <c r="A833" s="33"/>
      <c r="B833" s="33"/>
      <c r="C833" s="33"/>
      <c r="D833" s="33"/>
      <c r="E833" s="33"/>
      <c r="F833" s="33"/>
      <c r="G833" s="33"/>
      <c r="H833" s="33"/>
    </row>
    <row r="834" spans="1:8" s="54" customFormat="1" ht="11.4" customHeight="1" x14ac:dyDescent="0.3">
      <c r="A834" s="33"/>
      <c r="B834" s="33"/>
      <c r="C834" s="33"/>
      <c r="D834" s="33"/>
      <c r="E834" s="33"/>
      <c r="F834" s="33"/>
      <c r="G834" s="33"/>
      <c r="H834" s="33"/>
    </row>
    <row r="835" spans="1:8" s="54" customFormat="1" ht="11.4" customHeight="1" x14ac:dyDescent="0.3">
      <c r="A835" s="33"/>
      <c r="B835" s="33"/>
      <c r="C835" s="33"/>
      <c r="D835" s="33"/>
      <c r="E835" s="33"/>
      <c r="F835" s="33"/>
      <c r="G835" s="33"/>
      <c r="H835" s="33"/>
    </row>
    <row r="836" spans="1:8" s="54" customFormat="1" ht="11.4" customHeight="1" x14ac:dyDescent="0.3">
      <c r="A836" s="33"/>
      <c r="B836" s="33"/>
      <c r="C836" s="33"/>
      <c r="D836" s="33"/>
      <c r="E836" s="33"/>
      <c r="F836" s="33"/>
      <c r="G836" s="33"/>
      <c r="H836" s="33"/>
    </row>
    <row r="837" spans="1:8" s="54" customFormat="1" ht="11.4" customHeight="1" x14ac:dyDescent="0.3">
      <c r="A837" s="33"/>
      <c r="B837" s="33"/>
      <c r="C837" s="33"/>
      <c r="D837" s="33"/>
      <c r="E837" s="33"/>
      <c r="F837" s="33"/>
      <c r="G837" s="33"/>
      <c r="H837" s="33"/>
    </row>
    <row r="838" spans="1:8" s="54" customFormat="1" ht="11.4" customHeight="1" x14ac:dyDescent="0.3">
      <c r="A838" s="33"/>
      <c r="B838" s="33"/>
      <c r="C838" s="33"/>
      <c r="D838" s="33"/>
      <c r="E838" s="33"/>
      <c r="F838" s="33"/>
      <c r="G838" s="33"/>
      <c r="H838" s="33"/>
    </row>
    <row r="839" spans="1:8" s="54" customFormat="1" ht="11.4" customHeight="1" x14ac:dyDescent="0.3">
      <c r="A839" s="33"/>
      <c r="B839" s="33"/>
      <c r="C839" s="33"/>
      <c r="D839" s="33"/>
      <c r="E839" s="33"/>
      <c r="F839" s="33"/>
      <c r="G839" s="33"/>
      <c r="H839" s="33"/>
    </row>
    <row r="840" spans="1:8" s="54" customFormat="1" ht="11.4" customHeight="1" x14ac:dyDescent="0.3">
      <c r="A840" s="33"/>
      <c r="B840" s="33"/>
      <c r="C840" s="33"/>
      <c r="D840" s="33"/>
      <c r="E840" s="33"/>
      <c r="F840" s="33"/>
      <c r="G840" s="33"/>
      <c r="H840" s="33"/>
    </row>
    <row r="841" spans="1:8" s="54" customFormat="1" ht="11.4" customHeight="1" x14ac:dyDescent="0.3">
      <c r="A841" s="33"/>
      <c r="B841" s="33"/>
      <c r="C841" s="33"/>
      <c r="D841" s="33"/>
      <c r="E841" s="33"/>
      <c r="F841" s="33"/>
      <c r="G841" s="33"/>
      <c r="H841" s="33"/>
    </row>
    <row r="842" spans="1:8" s="54" customFormat="1" ht="11.4" customHeight="1" x14ac:dyDescent="0.3">
      <c r="A842" s="33"/>
      <c r="B842" s="33"/>
      <c r="C842" s="33"/>
      <c r="D842" s="33"/>
      <c r="E842" s="33"/>
      <c r="F842" s="33"/>
      <c r="G842" s="33"/>
      <c r="H842" s="33"/>
    </row>
    <row r="843" spans="1:8" s="54" customFormat="1" ht="11.4" customHeight="1" x14ac:dyDescent="0.3">
      <c r="A843" s="33"/>
      <c r="B843" s="33"/>
      <c r="C843" s="33"/>
      <c r="D843" s="33"/>
      <c r="E843" s="33"/>
      <c r="F843" s="33"/>
      <c r="G843" s="33"/>
      <c r="H843" s="33"/>
    </row>
    <row r="844" spans="1:8" s="54" customFormat="1" ht="11.4" customHeight="1" x14ac:dyDescent="0.3">
      <c r="A844" s="33"/>
      <c r="B844" s="33"/>
      <c r="C844" s="33"/>
      <c r="D844" s="33"/>
      <c r="E844" s="33"/>
      <c r="F844" s="33"/>
      <c r="G844" s="33"/>
      <c r="H844" s="33"/>
    </row>
    <row r="845" spans="1:8" s="54" customFormat="1" ht="11.4" customHeight="1" x14ac:dyDescent="0.3">
      <c r="A845" s="33"/>
      <c r="B845" s="33"/>
      <c r="C845" s="33"/>
      <c r="D845" s="33"/>
      <c r="E845" s="33"/>
      <c r="F845" s="33"/>
      <c r="G845" s="33"/>
      <c r="H845" s="33"/>
    </row>
    <row r="846" spans="1:8" s="54" customFormat="1" ht="11.4" customHeight="1" x14ac:dyDescent="0.3">
      <c r="A846" s="33"/>
      <c r="B846" s="33"/>
      <c r="C846" s="33"/>
      <c r="D846" s="33"/>
      <c r="E846" s="33"/>
      <c r="F846" s="33"/>
      <c r="G846" s="33"/>
      <c r="H846" s="33"/>
    </row>
    <row r="847" spans="1:8" s="54" customFormat="1" ht="11.4" customHeight="1" x14ac:dyDescent="0.3">
      <c r="A847" s="33"/>
      <c r="B847" s="33"/>
      <c r="C847" s="33"/>
      <c r="D847" s="33"/>
      <c r="E847" s="33"/>
      <c r="F847" s="33"/>
      <c r="G847" s="33"/>
      <c r="H847" s="33"/>
    </row>
    <row r="848" spans="1:8" s="54" customFormat="1" ht="11.4" customHeight="1" x14ac:dyDescent="0.3">
      <c r="A848" s="33"/>
      <c r="B848" s="33"/>
      <c r="C848" s="33"/>
      <c r="D848" s="33"/>
      <c r="E848" s="33"/>
      <c r="F848" s="33"/>
      <c r="G848" s="33"/>
      <c r="H848" s="33"/>
    </row>
    <row r="849" spans="1:8" s="54" customFormat="1" ht="11.4" customHeight="1" x14ac:dyDescent="0.3">
      <c r="A849" s="33"/>
      <c r="B849" s="33"/>
      <c r="C849" s="33"/>
      <c r="D849" s="33"/>
      <c r="E849" s="33"/>
      <c r="F849" s="33"/>
      <c r="G849" s="33"/>
      <c r="H849" s="33"/>
    </row>
    <row r="850" spans="1:8" s="54" customFormat="1" ht="11.4" customHeight="1" x14ac:dyDescent="0.3">
      <c r="A850" s="33"/>
      <c r="B850" s="33"/>
      <c r="C850" s="33"/>
      <c r="D850" s="33"/>
      <c r="E850" s="33"/>
      <c r="F850" s="33"/>
      <c r="G850" s="33"/>
      <c r="H850" s="33"/>
    </row>
    <row r="851" spans="1:8" s="54" customFormat="1" ht="11.4" customHeight="1" x14ac:dyDescent="0.3">
      <c r="A851" s="33"/>
      <c r="B851" s="33"/>
      <c r="C851" s="33"/>
      <c r="D851" s="33"/>
      <c r="E851" s="33"/>
      <c r="F851" s="33"/>
      <c r="G851" s="33"/>
      <c r="H851" s="33"/>
    </row>
    <row r="852" spans="1:8" s="54" customFormat="1" ht="11.4" customHeight="1" x14ac:dyDescent="0.3">
      <c r="A852" s="33"/>
      <c r="B852" s="33"/>
      <c r="C852" s="33"/>
      <c r="D852" s="33"/>
      <c r="E852" s="33"/>
      <c r="F852" s="33"/>
      <c r="G852" s="33"/>
      <c r="H852" s="33"/>
    </row>
    <row r="853" spans="1:8" s="54" customFormat="1" ht="11.4" customHeight="1" x14ac:dyDescent="0.3">
      <c r="A853" s="33"/>
      <c r="B853" s="33"/>
      <c r="C853" s="33"/>
      <c r="D853" s="33"/>
      <c r="E853" s="33"/>
      <c r="F853" s="33"/>
      <c r="G853" s="33"/>
      <c r="H853" s="33"/>
    </row>
    <row r="854" spans="1:8" s="54" customFormat="1" ht="11.4" customHeight="1" x14ac:dyDescent="0.3">
      <c r="A854" s="33"/>
      <c r="B854" s="33"/>
      <c r="C854" s="33"/>
      <c r="D854" s="33"/>
      <c r="E854" s="33"/>
      <c r="F854" s="33"/>
      <c r="G854" s="33"/>
      <c r="H854" s="33"/>
    </row>
    <row r="855" spans="1:8" s="54" customFormat="1" ht="11.4" customHeight="1" x14ac:dyDescent="0.3">
      <c r="A855" s="33"/>
      <c r="B855" s="33"/>
      <c r="C855" s="33"/>
      <c r="D855" s="33"/>
      <c r="E855" s="33"/>
      <c r="F855" s="33"/>
      <c r="G855" s="33"/>
      <c r="H855" s="33"/>
    </row>
    <row r="856" spans="1:8" s="54" customFormat="1" ht="11.4" customHeight="1" x14ac:dyDescent="0.3">
      <c r="A856" s="33"/>
      <c r="B856" s="33"/>
      <c r="C856" s="33"/>
      <c r="D856" s="33"/>
      <c r="E856" s="33"/>
      <c r="F856" s="33"/>
      <c r="G856" s="33"/>
      <c r="H856" s="33"/>
    </row>
    <row r="857" spans="1:8" s="54" customFormat="1" ht="11.4" customHeight="1" x14ac:dyDescent="0.3">
      <c r="A857" s="33"/>
      <c r="B857" s="33"/>
      <c r="C857" s="33"/>
      <c r="D857" s="33"/>
      <c r="E857" s="33"/>
      <c r="F857" s="33"/>
      <c r="G857" s="33"/>
      <c r="H857" s="33"/>
    </row>
    <row r="858" spans="1:8" s="54" customFormat="1" ht="11.4" customHeight="1" x14ac:dyDescent="0.3">
      <c r="A858" s="33"/>
      <c r="B858" s="33"/>
      <c r="C858" s="33"/>
      <c r="D858" s="33"/>
      <c r="E858" s="33"/>
      <c r="F858" s="33"/>
      <c r="G858" s="33"/>
      <c r="H858" s="33"/>
    </row>
    <row r="859" spans="1:8" s="54" customFormat="1" ht="11.4" customHeight="1" x14ac:dyDescent="0.3">
      <c r="A859" s="33"/>
      <c r="B859" s="33"/>
      <c r="C859" s="33"/>
      <c r="D859" s="33"/>
      <c r="E859" s="33"/>
      <c r="F859" s="33"/>
      <c r="G859" s="33"/>
      <c r="H859" s="33"/>
    </row>
    <row r="860" spans="1:8" s="54" customFormat="1" ht="11.4" customHeight="1" x14ac:dyDescent="0.3">
      <c r="A860" s="33"/>
      <c r="B860" s="33"/>
      <c r="C860" s="33"/>
      <c r="D860" s="33"/>
      <c r="E860" s="33"/>
      <c r="F860" s="33"/>
      <c r="G860" s="33"/>
      <c r="H860" s="33"/>
    </row>
    <row r="861" spans="1:8" s="54" customFormat="1" ht="11.4" customHeight="1" x14ac:dyDescent="0.3">
      <c r="A861" s="33"/>
      <c r="B861" s="33"/>
      <c r="C861" s="33"/>
      <c r="D861" s="33"/>
      <c r="E861" s="33"/>
      <c r="F861" s="33"/>
      <c r="G861" s="33"/>
      <c r="H861" s="33"/>
    </row>
    <row r="862" spans="1:8" s="54" customFormat="1" ht="11.4" customHeight="1" x14ac:dyDescent="0.3">
      <c r="A862" s="33"/>
      <c r="B862" s="33"/>
      <c r="C862" s="33"/>
      <c r="D862" s="33"/>
      <c r="E862" s="33"/>
      <c r="F862" s="33"/>
      <c r="G862" s="33"/>
      <c r="H862" s="33"/>
    </row>
    <row r="863" spans="1:8" s="54" customFormat="1" ht="11.4" customHeight="1" x14ac:dyDescent="0.3">
      <c r="A863" s="33"/>
      <c r="B863" s="33"/>
      <c r="C863" s="33"/>
      <c r="D863" s="33"/>
      <c r="E863" s="33"/>
      <c r="F863" s="33"/>
      <c r="G863" s="33"/>
      <c r="H863" s="33"/>
    </row>
    <row r="864" spans="1:8" s="54" customFormat="1" ht="11.4" customHeight="1" x14ac:dyDescent="0.3">
      <c r="A864" s="33"/>
      <c r="B864" s="33"/>
      <c r="C864" s="33"/>
      <c r="D864" s="33"/>
      <c r="E864" s="33"/>
      <c r="F864" s="33"/>
      <c r="G864" s="33"/>
      <c r="H864" s="33"/>
    </row>
    <row r="865" spans="1:8" s="54" customFormat="1" ht="11.4" customHeight="1" x14ac:dyDescent="0.3">
      <c r="A865" s="33"/>
      <c r="B865" s="33"/>
      <c r="C865" s="33"/>
      <c r="D865" s="33"/>
      <c r="E865" s="33"/>
      <c r="F865" s="33"/>
      <c r="G865" s="33"/>
      <c r="H865" s="33"/>
    </row>
    <row r="866" spans="1:8" s="54" customFormat="1" ht="11.4" customHeight="1" x14ac:dyDescent="0.3">
      <c r="A866" s="33"/>
      <c r="B866" s="33"/>
      <c r="C866" s="33"/>
      <c r="D866" s="33"/>
      <c r="E866" s="33"/>
      <c r="F866" s="33"/>
      <c r="G866" s="33"/>
      <c r="H866" s="33"/>
    </row>
    <row r="867" spans="1:8" s="54" customFormat="1" ht="11.4" customHeight="1" x14ac:dyDescent="0.3">
      <c r="A867" s="33"/>
      <c r="B867" s="33"/>
      <c r="C867" s="33"/>
      <c r="D867" s="33"/>
      <c r="E867" s="33"/>
      <c r="F867" s="33"/>
      <c r="G867" s="33"/>
      <c r="H867" s="33"/>
    </row>
    <row r="868" spans="1:8" s="54" customFormat="1" ht="11.4" customHeight="1" x14ac:dyDescent="0.3">
      <c r="A868" s="33"/>
      <c r="B868" s="33"/>
      <c r="C868" s="33"/>
      <c r="D868" s="33"/>
      <c r="E868" s="33"/>
      <c r="F868" s="33"/>
      <c r="G868" s="33"/>
      <c r="H868" s="33"/>
    </row>
    <row r="869" spans="1:8" s="54" customFormat="1" ht="11.4" customHeight="1" x14ac:dyDescent="0.3">
      <c r="A869" s="33"/>
      <c r="B869" s="33"/>
      <c r="C869" s="33"/>
      <c r="D869" s="33"/>
      <c r="E869" s="33"/>
      <c r="F869" s="33"/>
      <c r="G869" s="33"/>
      <c r="H869" s="33"/>
    </row>
    <row r="870" spans="1:8" s="54" customFormat="1" ht="11.4" customHeight="1" x14ac:dyDescent="0.3">
      <c r="A870" s="33"/>
      <c r="B870" s="33"/>
      <c r="C870" s="33"/>
      <c r="D870" s="33"/>
      <c r="E870" s="33"/>
      <c r="F870" s="33"/>
      <c r="G870" s="33"/>
      <c r="H870" s="33"/>
    </row>
    <row r="871" spans="1:8" s="54" customFormat="1" ht="11.4" customHeight="1" x14ac:dyDescent="0.3">
      <c r="A871" s="33"/>
      <c r="B871" s="33"/>
      <c r="C871" s="33"/>
      <c r="D871" s="33"/>
      <c r="E871" s="33"/>
      <c r="F871" s="33"/>
      <c r="G871" s="33"/>
      <c r="H871" s="33"/>
    </row>
    <row r="872" spans="1:8" s="54" customFormat="1" ht="11.4" customHeight="1" x14ac:dyDescent="0.3">
      <c r="A872" s="33"/>
      <c r="B872" s="33"/>
      <c r="C872" s="33"/>
      <c r="D872" s="33"/>
      <c r="E872" s="33"/>
      <c r="F872" s="33"/>
      <c r="G872" s="33"/>
      <c r="H872" s="33"/>
    </row>
    <row r="873" spans="1:8" s="54" customFormat="1" ht="11.4" customHeight="1" x14ac:dyDescent="0.3">
      <c r="A873" s="33"/>
      <c r="B873" s="33"/>
      <c r="C873" s="33"/>
      <c r="D873" s="33"/>
      <c r="E873" s="33"/>
      <c r="F873" s="33"/>
      <c r="G873" s="33"/>
      <c r="H873" s="33"/>
    </row>
    <row r="874" spans="1:8" s="54" customFormat="1" ht="11.4" customHeight="1" x14ac:dyDescent="0.3">
      <c r="A874" s="33"/>
      <c r="B874" s="33"/>
      <c r="C874" s="33"/>
      <c r="D874" s="33"/>
      <c r="E874" s="33"/>
      <c r="F874" s="33"/>
      <c r="G874" s="33"/>
      <c r="H874" s="33"/>
    </row>
    <row r="875" spans="1:8" s="54" customFormat="1" ht="11.4" customHeight="1" x14ac:dyDescent="0.3">
      <c r="A875" s="33"/>
      <c r="B875" s="33"/>
      <c r="C875" s="33"/>
      <c r="D875" s="33"/>
      <c r="E875" s="33"/>
      <c r="F875" s="33"/>
      <c r="G875" s="33"/>
      <c r="H875" s="33"/>
    </row>
    <row r="876" spans="1:8" s="54" customFormat="1" ht="11.4" customHeight="1" x14ac:dyDescent="0.3">
      <c r="A876" s="33"/>
      <c r="B876" s="33"/>
      <c r="C876" s="33"/>
      <c r="D876" s="33"/>
      <c r="E876" s="33"/>
      <c r="F876" s="33"/>
      <c r="G876" s="33"/>
      <c r="H876" s="33"/>
    </row>
    <row r="877" spans="1:8" s="54" customFormat="1" ht="11.4" customHeight="1" x14ac:dyDescent="0.3">
      <c r="A877" s="33"/>
      <c r="B877" s="33"/>
      <c r="C877" s="33"/>
      <c r="D877" s="33"/>
      <c r="E877" s="33"/>
      <c r="F877" s="33"/>
      <c r="G877" s="33"/>
      <c r="H877" s="33"/>
    </row>
    <row r="878" spans="1:8" s="54" customFormat="1" ht="11.4" customHeight="1" x14ac:dyDescent="0.3">
      <c r="A878" s="33"/>
      <c r="B878" s="33"/>
      <c r="C878" s="33"/>
      <c r="D878" s="33"/>
      <c r="E878" s="33"/>
      <c r="F878" s="33"/>
      <c r="G878" s="33"/>
      <c r="H878" s="33"/>
    </row>
    <row r="879" spans="1:8" s="54" customFormat="1" ht="11.4" customHeight="1" x14ac:dyDescent="0.3">
      <c r="A879" s="33"/>
      <c r="B879" s="33"/>
      <c r="C879" s="33"/>
      <c r="D879" s="33"/>
      <c r="E879" s="33"/>
      <c r="F879" s="33"/>
      <c r="G879" s="33"/>
      <c r="H879" s="33"/>
    </row>
    <row r="880" spans="1:8" s="54" customFormat="1" ht="11.4" customHeight="1" x14ac:dyDescent="0.3">
      <c r="A880" s="33"/>
      <c r="B880" s="33"/>
      <c r="C880" s="33"/>
      <c r="D880" s="33"/>
      <c r="E880" s="33"/>
      <c r="F880" s="33"/>
      <c r="G880" s="33"/>
      <c r="H880" s="33"/>
    </row>
    <row r="881" spans="1:8" s="54" customFormat="1" ht="11.4" customHeight="1" x14ac:dyDescent="0.3">
      <c r="A881" s="33"/>
      <c r="B881" s="33"/>
      <c r="C881" s="33"/>
      <c r="D881" s="33"/>
      <c r="E881" s="33"/>
      <c r="F881" s="33"/>
      <c r="G881" s="33"/>
      <c r="H881" s="33"/>
    </row>
    <row r="882" spans="1:8" s="54" customFormat="1" ht="11.4" customHeight="1" x14ac:dyDescent="0.3">
      <c r="A882" s="33"/>
      <c r="B882" s="33"/>
      <c r="C882" s="33"/>
      <c r="D882" s="33"/>
      <c r="E882" s="33"/>
      <c r="F882" s="33"/>
      <c r="G882" s="33"/>
      <c r="H882" s="33"/>
    </row>
    <row r="883" spans="1:8" s="54" customFormat="1" ht="11.4" customHeight="1" x14ac:dyDescent="0.3">
      <c r="A883" s="33"/>
      <c r="B883" s="33"/>
      <c r="C883" s="33"/>
      <c r="D883" s="33"/>
      <c r="E883" s="33"/>
      <c r="F883" s="33"/>
      <c r="G883" s="33"/>
      <c r="H883" s="33"/>
    </row>
    <row r="884" spans="1:8" s="54" customFormat="1" ht="11.4" customHeight="1" x14ac:dyDescent="0.3">
      <c r="A884" s="33"/>
      <c r="B884" s="33"/>
      <c r="C884" s="33"/>
      <c r="D884" s="33"/>
      <c r="E884" s="33"/>
      <c r="F884" s="33"/>
      <c r="G884" s="33"/>
      <c r="H884" s="33"/>
    </row>
    <row r="885" spans="1:8" s="54" customFormat="1" ht="11.4" customHeight="1" x14ac:dyDescent="0.3">
      <c r="A885" s="33"/>
      <c r="B885" s="33"/>
      <c r="C885" s="33"/>
      <c r="D885" s="33"/>
      <c r="E885" s="33"/>
      <c r="F885" s="33"/>
      <c r="G885" s="33"/>
      <c r="H885" s="33"/>
    </row>
    <row r="886" spans="1:8" s="54" customFormat="1" ht="11.4" customHeight="1" x14ac:dyDescent="0.3">
      <c r="A886" s="33"/>
      <c r="B886" s="33"/>
      <c r="C886" s="33"/>
      <c r="D886" s="33"/>
      <c r="E886" s="33"/>
      <c r="F886" s="33"/>
      <c r="G886" s="33"/>
      <c r="H886" s="33"/>
    </row>
    <row r="887" spans="1:8" s="54" customFormat="1" ht="11.4" customHeight="1" x14ac:dyDescent="0.3">
      <c r="A887" s="33"/>
      <c r="B887" s="33"/>
      <c r="C887" s="33"/>
      <c r="D887" s="33"/>
      <c r="E887" s="33"/>
      <c r="F887" s="33"/>
      <c r="G887" s="33"/>
      <c r="H887" s="33"/>
    </row>
    <row r="888" spans="1:8" s="54" customFormat="1" ht="11.4" customHeight="1" x14ac:dyDescent="0.3">
      <c r="A888" s="33"/>
      <c r="B888" s="33"/>
      <c r="C888" s="33"/>
      <c r="D888" s="33"/>
      <c r="E888" s="33"/>
      <c r="F888" s="33"/>
      <c r="G888" s="33"/>
      <c r="H888" s="33"/>
    </row>
    <row r="889" spans="1:8" s="54" customFormat="1" ht="11.4" customHeight="1" x14ac:dyDescent="0.3">
      <c r="A889" s="33"/>
      <c r="B889" s="33"/>
      <c r="C889" s="33"/>
      <c r="D889" s="33"/>
      <c r="E889" s="33"/>
      <c r="F889" s="33"/>
      <c r="G889" s="33"/>
      <c r="H889" s="33"/>
    </row>
    <row r="890" spans="1:8" s="54" customFormat="1" ht="11.4" customHeight="1" x14ac:dyDescent="0.3">
      <c r="A890" s="33"/>
      <c r="B890" s="33"/>
      <c r="C890" s="33"/>
      <c r="D890" s="33"/>
      <c r="E890" s="33"/>
      <c r="F890" s="33"/>
      <c r="G890" s="33"/>
      <c r="H890" s="33"/>
    </row>
    <row r="891" spans="1:8" s="54" customFormat="1" ht="11.4" customHeight="1" x14ac:dyDescent="0.3">
      <c r="A891" s="33"/>
      <c r="B891" s="33"/>
      <c r="C891" s="33"/>
      <c r="D891" s="33"/>
      <c r="E891" s="33"/>
      <c r="F891" s="33"/>
      <c r="G891" s="33"/>
      <c r="H891" s="33"/>
    </row>
    <row r="892" spans="1:8" s="54" customFormat="1" ht="11.4" customHeight="1" x14ac:dyDescent="0.3">
      <c r="A892" s="33"/>
      <c r="B892" s="33"/>
      <c r="C892" s="33"/>
      <c r="D892" s="33"/>
      <c r="E892" s="33"/>
      <c r="F892" s="33"/>
      <c r="G892" s="33"/>
      <c r="H892" s="33"/>
    </row>
    <row r="893" spans="1:8" s="54" customFormat="1" ht="11.4" customHeight="1" x14ac:dyDescent="0.3">
      <c r="A893" s="33"/>
      <c r="B893" s="33"/>
      <c r="C893" s="33"/>
      <c r="D893" s="33"/>
      <c r="E893" s="33"/>
      <c r="F893" s="33"/>
      <c r="G893" s="33"/>
      <c r="H893" s="33"/>
    </row>
    <row r="894" spans="1:8" s="54" customFormat="1" ht="11.4" customHeight="1" x14ac:dyDescent="0.3">
      <c r="A894" s="33"/>
      <c r="B894" s="33"/>
      <c r="C894" s="33"/>
      <c r="D894" s="33"/>
      <c r="E894" s="33"/>
      <c r="F894" s="33"/>
      <c r="G894" s="33"/>
      <c r="H894" s="33"/>
    </row>
    <row r="895" spans="1:8" s="54" customFormat="1" ht="11.4" customHeight="1" x14ac:dyDescent="0.3">
      <c r="A895" s="33"/>
      <c r="B895" s="33"/>
      <c r="C895" s="33"/>
      <c r="D895" s="33"/>
      <c r="E895" s="33"/>
      <c r="F895" s="33"/>
      <c r="G895" s="33"/>
      <c r="H895" s="33"/>
    </row>
    <row r="896" spans="1:8" s="54" customFormat="1" ht="11.4" customHeight="1" x14ac:dyDescent="0.3">
      <c r="A896" s="33"/>
      <c r="B896" s="33"/>
      <c r="C896" s="33"/>
      <c r="D896" s="33"/>
      <c r="E896" s="33"/>
      <c r="F896" s="33"/>
      <c r="G896" s="33"/>
      <c r="H896" s="33"/>
    </row>
    <row r="897" spans="1:8" s="54" customFormat="1" ht="11.4" customHeight="1" x14ac:dyDescent="0.3">
      <c r="A897" s="33"/>
      <c r="B897" s="33"/>
      <c r="C897" s="33"/>
      <c r="D897" s="33"/>
      <c r="E897" s="33"/>
      <c r="F897" s="33"/>
      <c r="G897" s="33"/>
      <c r="H897" s="33"/>
    </row>
    <row r="898" spans="1:8" s="54" customFormat="1" ht="11.4" customHeight="1" x14ac:dyDescent="0.3">
      <c r="A898" s="33"/>
      <c r="B898" s="33"/>
      <c r="C898" s="33"/>
      <c r="D898" s="33"/>
      <c r="E898" s="33"/>
      <c r="F898" s="33"/>
      <c r="G898" s="33"/>
      <c r="H898" s="33"/>
    </row>
    <row r="899" spans="1:8" s="54" customFormat="1" ht="11.4" customHeight="1" x14ac:dyDescent="0.3">
      <c r="A899" s="33"/>
      <c r="B899" s="33"/>
      <c r="C899" s="33"/>
      <c r="D899" s="33"/>
      <c r="E899" s="33"/>
      <c r="F899" s="33"/>
      <c r="G899" s="33"/>
      <c r="H899" s="33"/>
    </row>
    <row r="900" spans="1:8" s="54" customFormat="1" ht="11.4" customHeight="1" x14ac:dyDescent="0.3">
      <c r="A900" s="33"/>
      <c r="B900" s="33"/>
      <c r="C900" s="33"/>
      <c r="D900" s="33"/>
      <c r="E900" s="33"/>
      <c r="F900" s="33"/>
      <c r="G900" s="33"/>
      <c r="H900" s="33"/>
    </row>
    <row r="901" spans="1:8" s="54" customFormat="1" ht="11.4" customHeight="1" x14ac:dyDescent="0.3">
      <c r="A901" s="33"/>
      <c r="B901" s="33"/>
      <c r="C901" s="33"/>
      <c r="D901" s="33"/>
      <c r="E901" s="33"/>
      <c r="F901" s="33"/>
      <c r="G901" s="33"/>
      <c r="H901" s="33"/>
    </row>
    <row r="902" spans="1:8" s="54" customFormat="1" ht="11.4" customHeight="1" x14ac:dyDescent="0.3">
      <c r="A902" s="33"/>
      <c r="B902" s="33"/>
      <c r="C902" s="33"/>
      <c r="D902" s="33"/>
      <c r="E902" s="33"/>
      <c r="F902" s="33"/>
      <c r="G902" s="33"/>
      <c r="H902" s="33"/>
    </row>
    <row r="903" spans="1:8" s="54" customFormat="1" ht="11.4" customHeight="1" x14ac:dyDescent="0.3">
      <c r="A903" s="33"/>
      <c r="B903" s="33"/>
      <c r="C903" s="33"/>
      <c r="D903" s="33"/>
      <c r="E903" s="33"/>
      <c r="F903" s="33"/>
      <c r="G903" s="33"/>
      <c r="H903" s="33"/>
    </row>
    <row r="904" spans="1:8" s="54" customFormat="1" ht="11.4" customHeight="1" x14ac:dyDescent="0.3">
      <c r="A904" s="33"/>
      <c r="B904" s="33"/>
      <c r="C904" s="33"/>
      <c r="D904" s="33"/>
      <c r="E904" s="33"/>
      <c r="F904" s="33"/>
      <c r="G904" s="33"/>
      <c r="H904" s="33"/>
    </row>
    <row r="905" spans="1:8" s="54" customFormat="1" ht="11.4" customHeight="1" x14ac:dyDescent="0.3">
      <c r="A905" s="33"/>
      <c r="B905" s="33"/>
      <c r="C905" s="33"/>
      <c r="D905" s="33"/>
      <c r="E905" s="33"/>
      <c r="F905" s="33"/>
      <c r="G905" s="33"/>
      <c r="H905" s="33"/>
    </row>
    <row r="906" spans="1:8" s="54" customFormat="1" ht="11.4" customHeight="1" x14ac:dyDescent="0.3">
      <c r="A906" s="33"/>
      <c r="B906" s="33"/>
      <c r="C906" s="33"/>
      <c r="D906" s="33"/>
      <c r="E906" s="33"/>
      <c r="F906" s="33"/>
      <c r="G906" s="33"/>
      <c r="H906" s="33"/>
    </row>
    <row r="907" spans="1:8" s="54" customFormat="1" ht="11.4" customHeight="1" x14ac:dyDescent="0.3">
      <c r="A907" s="33"/>
      <c r="B907" s="33"/>
      <c r="C907" s="33"/>
      <c r="D907" s="33"/>
      <c r="E907" s="33"/>
      <c r="F907" s="33"/>
      <c r="G907" s="33"/>
      <c r="H907" s="33"/>
    </row>
    <row r="908" spans="1:8" s="54" customFormat="1" ht="11.4" customHeight="1" x14ac:dyDescent="0.3">
      <c r="A908" s="33"/>
      <c r="B908" s="33"/>
      <c r="C908" s="33"/>
      <c r="D908" s="33"/>
      <c r="E908" s="33"/>
      <c r="F908" s="33"/>
      <c r="G908" s="33"/>
      <c r="H908" s="33"/>
    </row>
    <row r="909" spans="1:8" s="54" customFormat="1" ht="11.4" customHeight="1" x14ac:dyDescent="0.3">
      <c r="A909" s="33"/>
      <c r="B909" s="33"/>
      <c r="C909" s="33"/>
      <c r="D909" s="33"/>
      <c r="E909" s="33"/>
      <c r="F909" s="33"/>
      <c r="G909" s="33"/>
      <c r="H909" s="33"/>
    </row>
    <row r="910" spans="1:8" s="54" customFormat="1" ht="11.4" customHeight="1" x14ac:dyDescent="0.3">
      <c r="A910" s="33"/>
      <c r="B910" s="33"/>
      <c r="C910" s="33"/>
      <c r="D910" s="33"/>
      <c r="E910" s="33"/>
      <c r="F910" s="33"/>
      <c r="G910" s="33"/>
      <c r="H910" s="33"/>
    </row>
    <row r="911" spans="1:8" s="54" customFormat="1" ht="11.4" customHeight="1" x14ac:dyDescent="0.3">
      <c r="A911" s="33"/>
      <c r="B911" s="33"/>
      <c r="C911" s="33"/>
      <c r="D911" s="33"/>
      <c r="E911" s="33"/>
      <c r="F911" s="33"/>
      <c r="G911" s="33"/>
      <c r="H911" s="33"/>
    </row>
    <row r="912" spans="1:8" s="54" customFormat="1" ht="11.4" customHeight="1" x14ac:dyDescent="0.3">
      <c r="A912" s="33"/>
      <c r="B912" s="33"/>
      <c r="C912" s="33"/>
      <c r="D912" s="33"/>
      <c r="E912" s="33"/>
      <c r="F912" s="33"/>
      <c r="G912" s="33"/>
      <c r="H912" s="33"/>
    </row>
    <row r="913" spans="1:8" s="54" customFormat="1" ht="11.4" customHeight="1" x14ac:dyDescent="0.3">
      <c r="A913" s="33"/>
      <c r="B913" s="33"/>
      <c r="C913" s="33"/>
      <c r="D913" s="33"/>
      <c r="E913" s="33"/>
      <c r="F913" s="33"/>
      <c r="G913" s="33"/>
      <c r="H913" s="33"/>
    </row>
    <row r="914" spans="1:8" s="54" customFormat="1" ht="11.4" customHeight="1" x14ac:dyDescent="0.3">
      <c r="A914" s="33"/>
      <c r="B914" s="33"/>
      <c r="C914" s="33"/>
      <c r="D914" s="33"/>
      <c r="E914" s="33"/>
      <c r="F914" s="33"/>
      <c r="G914" s="33"/>
      <c r="H914" s="33"/>
    </row>
    <row r="915" spans="1:8" s="54" customFormat="1" ht="11.4" customHeight="1" x14ac:dyDescent="0.3">
      <c r="A915" s="33"/>
      <c r="B915" s="33"/>
      <c r="C915" s="33"/>
      <c r="D915" s="33"/>
      <c r="E915" s="33"/>
      <c r="F915" s="33"/>
      <c r="G915" s="33"/>
      <c r="H915" s="33"/>
    </row>
    <row r="916" spans="1:8" s="54" customFormat="1" ht="11.4" customHeight="1" x14ac:dyDescent="0.3">
      <c r="A916" s="33"/>
      <c r="B916" s="33"/>
      <c r="C916" s="33"/>
      <c r="D916" s="33"/>
      <c r="E916" s="33"/>
      <c r="F916" s="33"/>
      <c r="G916" s="33"/>
      <c r="H916" s="33"/>
    </row>
    <row r="917" spans="1:8" s="54" customFormat="1" ht="11.4" customHeight="1" x14ac:dyDescent="0.3">
      <c r="A917" s="33"/>
      <c r="B917" s="33"/>
      <c r="C917" s="33"/>
      <c r="D917" s="33"/>
      <c r="E917" s="33"/>
      <c r="F917" s="33"/>
      <c r="G917" s="33"/>
      <c r="H917" s="33"/>
    </row>
    <row r="918" spans="1:8" s="54" customFormat="1" ht="11.4" customHeight="1" x14ac:dyDescent="0.3">
      <c r="A918" s="33"/>
      <c r="B918" s="33"/>
      <c r="C918" s="33"/>
      <c r="D918" s="33"/>
      <c r="E918" s="33"/>
      <c r="F918" s="33"/>
      <c r="G918" s="33"/>
      <c r="H918" s="33"/>
    </row>
    <row r="919" spans="1:8" s="54" customFormat="1" ht="11.4" customHeight="1" x14ac:dyDescent="0.3">
      <c r="A919" s="33"/>
      <c r="B919" s="33"/>
      <c r="C919" s="33"/>
      <c r="D919" s="33"/>
      <c r="E919" s="33"/>
      <c r="F919" s="33"/>
      <c r="G919" s="33"/>
      <c r="H919" s="33"/>
    </row>
    <row r="920" spans="1:8" s="54" customFormat="1" ht="11.4" customHeight="1" x14ac:dyDescent="0.3">
      <c r="A920" s="33"/>
      <c r="B920" s="33"/>
      <c r="C920" s="33"/>
      <c r="D920" s="33"/>
      <c r="E920" s="33"/>
      <c r="F920" s="33"/>
      <c r="G920" s="33"/>
      <c r="H920" s="33"/>
    </row>
    <row r="921" spans="1:8" s="54" customFormat="1" ht="11.4" customHeight="1" x14ac:dyDescent="0.3">
      <c r="A921" s="33"/>
      <c r="B921" s="33"/>
      <c r="C921" s="33"/>
      <c r="D921" s="33"/>
      <c r="E921" s="33"/>
      <c r="F921" s="33"/>
      <c r="G921" s="33"/>
      <c r="H921" s="33"/>
    </row>
    <row r="922" spans="1:8" s="54" customFormat="1" ht="11.4" customHeight="1" x14ac:dyDescent="0.3">
      <c r="A922" s="33"/>
      <c r="B922" s="33"/>
      <c r="C922" s="33"/>
      <c r="D922" s="33"/>
      <c r="E922" s="33"/>
      <c r="F922" s="33"/>
      <c r="G922" s="33"/>
      <c r="H922" s="33"/>
    </row>
    <row r="923" spans="1:8" s="54" customFormat="1" ht="11.4" customHeight="1" x14ac:dyDescent="0.3">
      <c r="A923" s="33"/>
      <c r="B923" s="33"/>
      <c r="C923" s="33"/>
      <c r="D923" s="33"/>
      <c r="E923" s="33"/>
      <c r="F923" s="33"/>
      <c r="G923" s="33"/>
      <c r="H923" s="33"/>
    </row>
    <row r="924" spans="1:8" s="54" customFormat="1" ht="11.4" customHeight="1" x14ac:dyDescent="0.3">
      <c r="A924" s="33"/>
      <c r="B924" s="33"/>
      <c r="C924" s="33"/>
      <c r="D924" s="33"/>
      <c r="E924" s="33"/>
      <c r="F924" s="33"/>
      <c r="G924" s="33"/>
      <c r="H924" s="33"/>
    </row>
    <row r="925" spans="1:8" s="54" customFormat="1" ht="11.4" customHeight="1" x14ac:dyDescent="0.3">
      <c r="A925" s="33"/>
      <c r="B925" s="33"/>
      <c r="C925" s="33"/>
      <c r="D925" s="33"/>
      <c r="E925" s="33"/>
      <c r="F925" s="33"/>
      <c r="G925" s="33"/>
      <c r="H925" s="33"/>
    </row>
    <row r="926" spans="1:8" s="54" customFormat="1" ht="11.4" customHeight="1" x14ac:dyDescent="0.3">
      <c r="A926" s="33"/>
      <c r="B926" s="33"/>
      <c r="C926" s="33"/>
      <c r="D926" s="33"/>
      <c r="E926" s="33"/>
      <c r="F926" s="33"/>
      <c r="G926" s="33"/>
      <c r="H926" s="33"/>
    </row>
    <row r="927" spans="1:8" s="54" customFormat="1" ht="11.4" customHeight="1" x14ac:dyDescent="0.3">
      <c r="A927" s="33"/>
      <c r="B927" s="33"/>
      <c r="C927" s="33"/>
      <c r="D927" s="33"/>
      <c r="E927" s="33"/>
      <c r="F927" s="33"/>
      <c r="G927" s="33"/>
      <c r="H927" s="33"/>
    </row>
    <row r="928" spans="1:8" s="54" customFormat="1" ht="11.4" customHeight="1" x14ac:dyDescent="0.3">
      <c r="A928" s="33"/>
      <c r="B928" s="33"/>
      <c r="C928" s="33"/>
      <c r="D928" s="33"/>
      <c r="E928" s="33"/>
      <c r="F928" s="33"/>
      <c r="G928" s="33"/>
      <c r="H928" s="33"/>
    </row>
    <row r="929" spans="1:8" s="54" customFormat="1" ht="11.4" customHeight="1" x14ac:dyDescent="0.3">
      <c r="A929" s="33"/>
      <c r="B929" s="33"/>
      <c r="C929" s="33"/>
      <c r="D929" s="33"/>
      <c r="E929" s="33"/>
      <c r="F929" s="33"/>
      <c r="G929" s="33"/>
      <c r="H929" s="33"/>
    </row>
    <row r="930" spans="1:8" s="54" customFormat="1" ht="11.4" customHeight="1" x14ac:dyDescent="0.3">
      <c r="A930" s="33"/>
      <c r="B930" s="33"/>
      <c r="C930" s="33"/>
      <c r="D930" s="33"/>
      <c r="E930" s="33"/>
      <c r="F930" s="33"/>
      <c r="G930" s="33"/>
      <c r="H930" s="33"/>
    </row>
    <row r="931" spans="1:8" s="54" customFormat="1" ht="11.4" customHeight="1" x14ac:dyDescent="0.3">
      <c r="A931" s="33"/>
      <c r="B931" s="33"/>
      <c r="C931" s="33"/>
      <c r="D931" s="33"/>
      <c r="E931" s="33"/>
      <c r="F931" s="33"/>
      <c r="G931" s="33"/>
      <c r="H931" s="33"/>
    </row>
    <row r="932" spans="1:8" s="54" customFormat="1" ht="11.4" customHeight="1" x14ac:dyDescent="0.3">
      <c r="A932" s="33"/>
      <c r="B932" s="33"/>
      <c r="C932" s="33"/>
      <c r="D932" s="33"/>
      <c r="E932" s="33"/>
      <c r="F932" s="33"/>
      <c r="G932" s="33"/>
      <c r="H932" s="33"/>
    </row>
    <row r="933" spans="1:8" s="54" customFormat="1" ht="11.4" customHeight="1" x14ac:dyDescent="0.3">
      <c r="A933" s="33"/>
      <c r="B933" s="33"/>
      <c r="C933" s="33"/>
      <c r="D933" s="33"/>
      <c r="E933" s="33"/>
      <c r="F933" s="33"/>
      <c r="G933" s="33"/>
      <c r="H933" s="33"/>
    </row>
    <row r="934" spans="1:8" s="54" customFormat="1" ht="11.4" customHeight="1" x14ac:dyDescent="0.3">
      <c r="A934" s="33"/>
      <c r="B934" s="33"/>
      <c r="C934" s="33"/>
      <c r="D934" s="33"/>
      <c r="E934" s="33"/>
      <c r="F934" s="33"/>
      <c r="G934" s="33"/>
      <c r="H934" s="33"/>
    </row>
    <row r="935" spans="1:8" s="54" customFormat="1" ht="11.4" customHeight="1" x14ac:dyDescent="0.3">
      <c r="A935" s="33"/>
      <c r="B935" s="33"/>
      <c r="C935" s="33"/>
      <c r="D935" s="33"/>
      <c r="E935" s="33"/>
      <c r="F935" s="33"/>
      <c r="G935" s="33"/>
      <c r="H935" s="33"/>
    </row>
    <row r="936" spans="1:8" s="54" customFormat="1" ht="11.4" customHeight="1" x14ac:dyDescent="0.3">
      <c r="A936" s="33"/>
      <c r="B936" s="33"/>
      <c r="C936" s="33"/>
      <c r="D936" s="33"/>
      <c r="E936" s="33"/>
      <c r="F936" s="33"/>
      <c r="G936" s="33"/>
      <c r="H936" s="33"/>
    </row>
    <row r="937" spans="1:8" s="54" customFormat="1" ht="11.4" customHeight="1" x14ac:dyDescent="0.3">
      <c r="A937" s="33"/>
      <c r="B937" s="33"/>
      <c r="C937" s="33"/>
      <c r="D937" s="33"/>
      <c r="E937" s="33"/>
      <c r="F937" s="33"/>
      <c r="G937" s="33"/>
      <c r="H937" s="33"/>
    </row>
    <row r="938" spans="1:8" s="54" customFormat="1" ht="11.4" customHeight="1" x14ac:dyDescent="0.3">
      <c r="A938" s="33"/>
      <c r="B938" s="33"/>
      <c r="C938" s="33"/>
      <c r="D938" s="33"/>
      <c r="E938" s="33"/>
      <c r="F938" s="33"/>
      <c r="G938" s="33"/>
      <c r="H938" s="33"/>
    </row>
    <row r="939" spans="1:8" s="54" customFormat="1" ht="11.4" customHeight="1" x14ac:dyDescent="0.3">
      <c r="A939" s="33"/>
      <c r="B939" s="33"/>
      <c r="C939" s="33"/>
      <c r="D939" s="33"/>
      <c r="E939" s="33"/>
      <c r="F939" s="33"/>
      <c r="G939" s="33"/>
      <c r="H939" s="33"/>
    </row>
    <row r="940" spans="1:8" s="54" customFormat="1" ht="11.4" customHeight="1" x14ac:dyDescent="0.3">
      <c r="A940" s="33"/>
      <c r="B940" s="33"/>
      <c r="C940" s="33"/>
      <c r="D940" s="33"/>
      <c r="E940" s="33"/>
      <c r="F940" s="33"/>
      <c r="G940" s="33"/>
      <c r="H940" s="33"/>
    </row>
    <row r="941" spans="1:8" s="54" customFormat="1" ht="11.4" customHeight="1" x14ac:dyDescent="0.3">
      <c r="A941" s="33"/>
      <c r="B941" s="33"/>
      <c r="C941" s="33"/>
      <c r="D941" s="33"/>
      <c r="E941" s="33"/>
      <c r="F941" s="33"/>
      <c r="G941" s="33"/>
      <c r="H941" s="33"/>
    </row>
    <row r="942" spans="1:8" s="54" customFormat="1" ht="11.4" customHeight="1" x14ac:dyDescent="0.3">
      <c r="A942" s="33"/>
      <c r="B942" s="33"/>
      <c r="C942" s="33"/>
      <c r="D942" s="33"/>
      <c r="E942" s="33"/>
      <c r="F942" s="33"/>
      <c r="G942" s="33"/>
      <c r="H942" s="33"/>
    </row>
    <row r="943" spans="1:8" s="54" customFormat="1" ht="11.4" customHeight="1" x14ac:dyDescent="0.3">
      <c r="A943" s="33"/>
      <c r="B943" s="33"/>
      <c r="C943" s="33"/>
      <c r="D943" s="33"/>
      <c r="E943" s="33"/>
      <c r="F943" s="33"/>
      <c r="G943" s="33"/>
      <c r="H943" s="33"/>
    </row>
    <row r="944" spans="1:8" s="54" customFormat="1" ht="11.4" customHeight="1" x14ac:dyDescent="0.3">
      <c r="A944" s="33"/>
      <c r="B944" s="33"/>
      <c r="C944" s="33"/>
      <c r="D944" s="33"/>
      <c r="E944" s="33"/>
      <c r="F944" s="33"/>
      <c r="G944" s="33"/>
      <c r="H944" s="33"/>
    </row>
    <row r="945" spans="1:8" s="54" customFormat="1" ht="11.4" customHeight="1" x14ac:dyDescent="0.3">
      <c r="A945" s="33"/>
      <c r="B945" s="33"/>
      <c r="C945" s="33"/>
      <c r="D945" s="33"/>
      <c r="E945" s="33"/>
      <c r="F945" s="33"/>
      <c r="G945" s="33"/>
      <c r="H945" s="33"/>
    </row>
    <row r="946" spans="1:8" s="54" customFormat="1" ht="11.4" customHeight="1" x14ac:dyDescent="0.3">
      <c r="A946" s="33"/>
      <c r="B946" s="33"/>
      <c r="C946" s="33"/>
      <c r="D946" s="33"/>
      <c r="E946" s="33"/>
      <c r="F946" s="33"/>
      <c r="G946" s="33"/>
      <c r="H946" s="33"/>
    </row>
    <row r="947" spans="1:8" s="54" customFormat="1" ht="11.4" customHeight="1" x14ac:dyDescent="0.3">
      <c r="A947" s="33"/>
      <c r="B947" s="33"/>
      <c r="C947" s="33"/>
      <c r="D947" s="33"/>
      <c r="E947" s="33"/>
      <c r="F947" s="33"/>
      <c r="G947" s="33"/>
      <c r="H947" s="33"/>
    </row>
    <row r="948" spans="1:8" s="54" customFormat="1" ht="11.4" customHeight="1" x14ac:dyDescent="0.3">
      <c r="A948" s="33"/>
      <c r="B948" s="33"/>
      <c r="C948" s="33"/>
      <c r="D948" s="33"/>
      <c r="E948" s="33"/>
      <c r="F948" s="33"/>
      <c r="G948" s="33"/>
      <c r="H948" s="33"/>
    </row>
    <row r="949" spans="1:8" s="54" customFormat="1" ht="11.4" customHeight="1" x14ac:dyDescent="0.3">
      <c r="A949" s="33"/>
      <c r="B949" s="33"/>
      <c r="C949" s="33"/>
      <c r="D949" s="33"/>
      <c r="E949" s="33"/>
      <c r="F949" s="33"/>
      <c r="G949" s="33"/>
      <c r="H949" s="33"/>
    </row>
    <row r="950" spans="1:8" s="54" customFormat="1" ht="11.4" customHeight="1" x14ac:dyDescent="0.3">
      <c r="A950" s="33"/>
      <c r="B950" s="33"/>
      <c r="C950" s="33"/>
      <c r="D950" s="33"/>
      <c r="E950" s="33"/>
      <c r="F950" s="33"/>
      <c r="G950" s="33"/>
      <c r="H950" s="33"/>
    </row>
    <row r="951" spans="1:8" s="54" customFormat="1" ht="11.4" customHeight="1" x14ac:dyDescent="0.3">
      <c r="A951" s="33"/>
      <c r="B951" s="33"/>
      <c r="C951" s="33"/>
      <c r="D951" s="33"/>
      <c r="E951" s="33"/>
      <c r="F951" s="33"/>
      <c r="G951" s="33"/>
      <c r="H951" s="33"/>
    </row>
    <row r="952" spans="1:8" s="54" customFormat="1" ht="11.4" customHeight="1" x14ac:dyDescent="0.3">
      <c r="A952" s="33"/>
      <c r="B952" s="33"/>
      <c r="C952" s="33"/>
      <c r="D952" s="33"/>
      <c r="E952" s="33"/>
      <c r="F952" s="33"/>
      <c r="G952" s="33"/>
      <c r="H952" s="33"/>
    </row>
    <row r="953" spans="1:8" s="54" customFormat="1" ht="11.4" customHeight="1" x14ac:dyDescent="0.3">
      <c r="A953" s="33"/>
      <c r="B953" s="33"/>
      <c r="C953" s="33"/>
      <c r="D953" s="33"/>
      <c r="E953" s="33"/>
      <c r="F953" s="33"/>
      <c r="G953" s="33"/>
      <c r="H953" s="33"/>
    </row>
    <row r="954" spans="1:8" s="54" customFormat="1" ht="11.4" customHeight="1" x14ac:dyDescent="0.3">
      <c r="A954" s="33"/>
      <c r="B954" s="33"/>
      <c r="C954" s="33"/>
      <c r="D954" s="33"/>
      <c r="E954" s="33"/>
      <c r="F954" s="33"/>
      <c r="G954" s="33"/>
      <c r="H954" s="33"/>
    </row>
    <row r="955" spans="1:8" s="54" customFormat="1" ht="11.4" customHeight="1" x14ac:dyDescent="0.3">
      <c r="A955" s="33"/>
      <c r="B955" s="33"/>
      <c r="C955" s="33"/>
      <c r="D955" s="33"/>
      <c r="E955" s="33"/>
      <c r="F955" s="33"/>
      <c r="G955" s="33"/>
      <c r="H955" s="33"/>
    </row>
    <row r="956" spans="1:8" s="54" customFormat="1" ht="11.4" customHeight="1" x14ac:dyDescent="0.3">
      <c r="A956" s="33"/>
      <c r="B956" s="33"/>
      <c r="C956" s="33"/>
      <c r="D956" s="33"/>
      <c r="E956" s="33"/>
      <c r="F956" s="33"/>
      <c r="G956" s="33"/>
      <c r="H956" s="33"/>
    </row>
    <row r="957" spans="1:8" s="54" customFormat="1" ht="11.4" customHeight="1" x14ac:dyDescent="0.3">
      <c r="A957" s="33"/>
      <c r="B957" s="33"/>
      <c r="C957" s="33"/>
      <c r="D957" s="33"/>
      <c r="E957" s="33"/>
      <c r="F957" s="33"/>
      <c r="G957" s="33"/>
      <c r="H957" s="33"/>
    </row>
    <row r="958" spans="1:8" s="54" customFormat="1" ht="11.4" customHeight="1" x14ac:dyDescent="0.3">
      <c r="A958" s="33"/>
      <c r="B958" s="33"/>
      <c r="C958" s="33"/>
      <c r="D958" s="33"/>
      <c r="E958" s="33"/>
      <c r="F958" s="33"/>
      <c r="G958" s="33"/>
      <c r="H958" s="33"/>
    </row>
    <row r="959" spans="1:8" s="54" customFormat="1" ht="11.4" customHeight="1" x14ac:dyDescent="0.3">
      <c r="A959" s="33"/>
      <c r="B959" s="33"/>
      <c r="C959" s="33"/>
      <c r="D959" s="33"/>
      <c r="E959" s="33"/>
      <c r="F959" s="33"/>
      <c r="G959" s="33"/>
      <c r="H959" s="33"/>
    </row>
    <row r="960" spans="1:8" s="54" customFormat="1" ht="11.4" customHeight="1" x14ac:dyDescent="0.3">
      <c r="A960" s="33"/>
      <c r="B960" s="33"/>
      <c r="C960" s="33"/>
      <c r="D960" s="33"/>
      <c r="E960" s="33"/>
      <c r="F960" s="33"/>
      <c r="G960" s="33"/>
      <c r="H960" s="33"/>
    </row>
    <row r="961" spans="1:8" s="54" customFormat="1" ht="11.4" customHeight="1" x14ac:dyDescent="0.3">
      <c r="A961" s="33"/>
      <c r="B961" s="33"/>
      <c r="C961" s="33"/>
      <c r="D961" s="33"/>
      <c r="E961" s="33"/>
      <c r="F961" s="33"/>
      <c r="G961" s="33"/>
      <c r="H961" s="33"/>
    </row>
    <row r="962" spans="1:8" s="54" customFormat="1" ht="11.4" customHeight="1" x14ac:dyDescent="0.3">
      <c r="A962" s="33"/>
      <c r="B962" s="33"/>
      <c r="C962" s="33"/>
      <c r="D962" s="33"/>
      <c r="E962" s="33"/>
      <c r="F962" s="33"/>
      <c r="G962" s="33"/>
      <c r="H962" s="33"/>
    </row>
    <row r="963" spans="1:8" s="54" customFormat="1" ht="11.4" customHeight="1" x14ac:dyDescent="0.3">
      <c r="A963" s="33"/>
      <c r="B963" s="33"/>
      <c r="C963" s="33"/>
      <c r="D963" s="33"/>
      <c r="E963" s="33"/>
      <c r="F963" s="33"/>
      <c r="G963" s="33"/>
      <c r="H963" s="33"/>
    </row>
    <row r="964" spans="1:8" s="54" customFormat="1" ht="11.4" customHeight="1" x14ac:dyDescent="0.3">
      <c r="A964" s="33"/>
      <c r="B964" s="33"/>
      <c r="C964" s="33"/>
      <c r="D964" s="33"/>
      <c r="E964" s="33"/>
      <c r="F964" s="33"/>
      <c r="G964" s="33"/>
      <c r="H964" s="33"/>
    </row>
    <row r="965" spans="1:8" s="54" customFormat="1" ht="11.4" customHeight="1" x14ac:dyDescent="0.3">
      <c r="A965" s="33"/>
      <c r="B965" s="33"/>
      <c r="C965" s="33"/>
      <c r="D965" s="33"/>
      <c r="E965" s="33"/>
      <c r="F965" s="33"/>
      <c r="G965" s="33"/>
      <c r="H965" s="33"/>
    </row>
    <row r="966" spans="1:8" s="54" customFormat="1" ht="11.4" customHeight="1" x14ac:dyDescent="0.3">
      <c r="A966" s="33"/>
      <c r="B966" s="33"/>
      <c r="C966" s="33"/>
      <c r="D966" s="33"/>
      <c r="E966" s="33"/>
      <c r="F966" s="33"/>
      <c r="G966" s="33"/>
      <c r="H966" s="33"/>
    </row>
    <row r="967" spans="1:8" s="54" customFormat="1" ht="11.4" customHeight="1" x14ac:dyDescent="0.3">
      <c r="A967" s="33"/>
      <c r="B967" s="33"/>
      <c r="C967" s="33"/>
      <c r="D967" s="33"/>
      <c r="E967" s="33"/>
      <c r="F967" s="33"/>
      <c r="G967" s="33"/>
      <c r="H967" s="33"/>
    </row>
    <row r="968" spans="1:8" s="54" customFormat="1" ht="11.4" customHeight="1" x14ac:dyDescent="0.3">
      <c r="A968" s="33"/>
      <c r="B968" s="33"/>
      <c r="C968" s="33"/>
      <c r="D968" s="33"/>
      <c r="E968" s="33"/>
      <c r="F968" s="33"/>
      <c r="G968" s="33"/>
      <c r="H968" s="33"/>
    </row>
    <row r="969" spans="1:8" s="54" customFormat="1" ht="11.4" customHeight="1" x14ac:dyDescent="0.3">
      <c r="A969" s="33"/>
      <c r="B969" s="33"/>
      <c r="C969" s="33"/>
      <c r="D969" s="33"/>
      <c r="E969" s="33"/>
      <c r="F969" s="33"/>
      <c r="G969" s="33"/>
      <c r="H969" s="33"/>
    </row>
    <row r="970" spans="1:8" s="54" customFormat="1" ht="11.4" customHeight="1" x14ac:dyDescent="0.3">
      <c r="A970" s="33"/>
      <c r="B970" s="33"/>
      <c r="C970" s="33"/>
      <c r="D970" s="33"/>
      <c r="E970" s="33"/>
      <c r="F970" s="33"/>
      <c r="G970" s="33"/>
      <c r="H970" s="33"/>
    </row>
    <row r="971" spans="1:8" s="54" customFormat="1" ht="11.4" customHeight="1" x14ac:dyDescent="0.3">
      <c r="A971" s="33"/>
      <c r="B971" s="33"/>
      <c r="C971" s="33"/>
      <c r="D971" s="33"/>
      <c r="E971" s="33"/>
      <c r="F971" s="33"/>
      <c r="G971" s="33"/>
      <c r="H971" s="33"/>
    </row>
    <row r="972" spans="1:8" s="54" customFormat="1" ht="11.4" customHeight="1" x14ac:dyDescent="0.3">
      <c r="A972" s="33"/>
      <c r="B972" s="33"/>
      <c r="C972" s="33"/>
      <c r="D972" s="33"/>
      <c r="E972" s="33"/>
      <c r="F972" s="33"/>
      <c r="G972" s="33"/>
      <c r="H972" s="33"/>
    </row>
    <row r="973" spans="1:8" s="54" customFormat="1" ht="11.4" customHeight="1" x14ac:dyDescent="0.3">
      <c r="A973" s="33"/>
      <c r="B973" s="33"/>
      <c r="C973" s="33"/>
      <c r="D973" s="33"/>
      <c r="E973" s="33"/>
      <c r="F973" s="33"/>
      <c r="G973" s="33"/>
      <c r="H973" s="33"/>
    </row>
    <row r="974" spans="1:8" s="54" customFormat="1" ht="11.4" customHeight="1" x14ac:dyDescent="0.3">
      <c r="A974" s="33"/>
      <c r="B974" s="33"/>
      <c r="C974" s="33"/>
      <c r="D974" s="33"/>
      <c r="E974" s="33"/>
      <c r="F974" s="33"/>
      <c r="G974" s="33"/>
      <c r="H974" s="33"/>
    </row>
    <row r="975" spans="1:8" s="54" customFormat="1" ht="11.4" customHeight="1" x14ac:dyDescent="0.3">
      <c r="A975" s="33"/>
      <c r="B975" s="33"/>
      <c r="C975" s="33"/>
      <c r="D975" s="33"/>
      <c r="E975" s="33"/>
      <c r="F975" s="33"/>
      <c r="G975" s="33"/>
      <c r="H975" s="33"/>
    </row>
    <row r="976" spans="1:8" s="54" customFormat="1" ht="11.4" customHeight="1" x14ac:dyDescent="0.3">
      <c r="A976" s="33"/>
      <c r="B976" s="33"/>
      <c r="C976" s="33"/>
      <c r="D976" s="33"/>
      <c r="E976" s="33"/>
      <c r="F976" s="33"/>
      <c r="G976" s="33"/>
      <c r="H976" s="33"/>
    </row>
    <row r="977" spans="1:8" s="54" customFormat="1" ht="11.4" customHeight="1" x14ac:dyDescent="0.3">
      <c r="A977" s="33"/>
      <c r="B977" s="33"/>
      <c r="C977" s="33"/>
      <c r="D977" s="33"/>
      <c r="E977" s="33"/>
      <c r="F977" s="33"/>
      <c r="G977" s="33"/>
      <c r="H977" s="33"/>
    </row>
    <row r="978" spans="1:8" s="54" customFormat="1" ht="11.4" customHeight="1" x14ac:dyDescent="0.3">
      <c r="A978" s="33"/>
      <c r="B978" s="33"/>
      <c r="C978" s="33"/>
      <c r="D978" s="33"/>
      <c r="E978" s="33"/>
      <c r="F978" s="33"/>
      <c r="G978" s="33"/>
      <c r="H978" s="33"/>
    </row>
    <row r="979" spans="1:8" s="54" customFormat="1" ht="11.4" customHeight="1" x14ac:dyDescent="0.3">
      <c r="A979" s="33"/>
      <c r="B979" s="33"/>
      <c r="C979" s="33"/>
      <c r="D979" s="33"/>
      <c r="E979" s="33"/>
      <c r="F979" s="33"/>
      <c r="G979" s="33"/>
      <c r="H979" s="33"/>
    </row>
    <row r="980" spans="1:8" s="54" customFormat="1" ht="11.4" customHeight="1" x14ac:dyDescent="0.3">
      <c r="A980" s="33"/>
      <c r="B980" s="33"/>
      <c r="C980" s="33"/>
      <c r="D980" s="33"/>
      <c r="E980" s="33"/>
      <c r="F980" s="33"/>
      <c r="G980" s="33"/>
      <c r="H980" s="33"/>
    </row>
    <row r="981" spans="1:8" s="54" customFormat="1" ht="11.4" customHeight="1" x14ac:dyDescent="0.3">
      <c r="A981" s="33"/>
      <c r="B981" s="33"/>
      <c r="C981" s="33"/>
      <c r="D981" s="33"/>
      <c r="E981" s="33"/>
      <c r="F981" s="33"/>
      <c r="G981" s="33"/>
      <c r="H981" s="33"/>
    </row>
    <row r="982" spans="1:8" s="54" customFormat="1" ht="11.4" customHeight="1" x14ac:dyDescent="0.3">
      <c r="A982" s="33"/>
      <c r="B982" s="33"/>
      <c r="C982" s="33"/>
      <c r="D982" s="33"/>
      <c r="E982" s="33"/>
      <c r="F982" s="33"/>
      <c r="G982" s="33"/>
      <c r="H982" s="33"/>
    </row>
    <row r="983" spans="1:8" s="54" customFormat="1" ht="11.4" customHeight="1" x14ac:dyDescent="0.3">
      <c r="A983" s="33"/>
      <c r="B983" s="33"/>
      <c r="C983" s="33"/>
      <c r="D983" s="33"/>
      <c r="E983" s="33"/>
      <c r="F983" s="33"/>
      <c r="G983" s="33"/>
      <c r="H983" s="33"/>
    </row>
    <row r="984" spans="1:8" s="54" customFormat="1" ht="11.4" customHeight="1" x14ac:dyDescent="0.3">
      <c r="A984" s="33"/>
      <c r="B984" s="33"/>
      <c r="C984" s="33"/>
      <c r="D984" s="33"/>
      <c r="E984" s="33"/>
      <c r="F984" s="33"/>
      <c r="G984" s="33"/>
      <c r="H984" s="33"/>
    </row>
    <row r="985" spans="1:8" s="54" customFormat="1" ht="11.4" customHeight="1" x14ac:dyDescent="0.3">
      <c r="A985" s="33"/>
      <c r="B985" s="33"/>
      <c r="C985" s="33"/>
      <c r="D985" s="33"/>
      <c r="E985" s="33"/>
      <c r="F985" s="33"/>
      <c r="G985" s="33"/>
      <c r="H985" s="33"/>
    </row>
    <row r="986" spans="1:8" s="54" customFormat="1" ht="11.4" customHeight="1" x14ac:dyDescent="0.3">
      <c r="A986" s="33"/>
      <c r="B986" s="33"/>
      <c r="C986" s="33"/>
      <c r="D986" s="33"/>
      <c r="E986" s="33"/>
      <c r="F986" s="33"/>
      <c r="G986" s="33"/>
      <c r="H986" s="33"/>
    </row>
    <row r="987" spans="1:8" s="54" customFormat="1" ht="11.4" customHeight="1" x14ac:dyDescent="0.3">
      <c r="A987" s="33"/>
      <c r="B987" s="33"/>
      <c r="C987" s="33"/>
      <c r="D987" s="33"/>
      <c r="E987" s="33"/>
      <c r="F987" s="33"/>
      <c r="G987" s="33"/>
      <c r="H987" s="33"/>
    </row>
    <row r="988" spans="1:8" s="54" customFormat="1" ht="11.4" customHeight="1" x14ac:dyDescent="0.3">
      <c r="A988" s="33"/>
      <c r="B988" s="33"/>
      <c r="C988" s="33"/>
      <c r="D988" s="33"/>
      <c r="E988" s="33"/>
      <c r="F988" s="33"/>
      <c r="G988" s="33"/>
      <c r="H988" s="33"/>
    </row>
    <row r="989" spans="1:8" s="54" customFormat="1" ht="11.4" customHeight="1" x14ac:dyDescent="0.3">
      <c r="A989" s="33"/>
      <c r="B989" s="33"/>
      <c r="C989" s="33"/>
      <c r="D989" s="33"/>
      <c r="E989" s="33"/>
      <c r="F989" s="33"/>
      <c r="G989" s="33"/>
      <c r="H989" s="33"/>
    </row>
    <row r="990" spans="1:8" s="54" customFormat="1" ht="11.4" customHeight="1" x14ac:dyDescent="0.3">
      <c r="A990" s="33"/>
      <c r="B990" s="33"/>
      <c r="C990" s="33"/>
      <c r="D990" s="33"/>
      <c r="E990" s="33"/>
      <c r="F990" s="33"/>
      <c r="G990" s="33"/>
      <c r="H990" s="33"/>
    </row>
    <row r="991" spans="1:8" s="54" customFormat="1" ht="11.4" customHeight="1" x14ac:dyDescent="0.3">
      <c r="A991" s="33"/>
      <c r="B991" s="33"/>
      <c r="C991" s="33"/>
      <c r="D991" s="33"/>
      <c r="E991" s="33"/>
      <c r="F991" s="33"/>
      <c r="G991" s="33"/>
      <c r="H991" s="33"/>
    </row>
    <row r="992" spans="1:8" s="54" customFormat="1" ht="11.4" customHeight="1" x14ac:dyDescent="0.3">
      <c r="A992" s="33"/>
      <c r="B992" s="33"/>
      <c r="C992" s="33"/>
      <c r="D992" s="33"/>
      <c r="E992" s="33"/>
      <c r="F992" s="33"/>
      <c r="G992" s="33"/>
      <c r="H992" s="33"/>
    </row>
    <row r="993" spans="1:8" s="54" customFormat="1" ht="11.4" customHeight="1" x14ac:dyDescent="0.3">
      <c r="A993" s="33"/>
      <c r="B993" s="33"/>
      <c r="C993" s="33"/>
      <c r="D993" s="33"/>
      <c r="E993" s="33"/>
      <c r="F993" s="33"/>
      <c r="G993" s="33"/>
      <c r="H993" s="33"/>
    </row>
    <row r="994" spans="1:8" s="54" customFormat="1" ht="11.4" customHeight="1" x14ac:dyDescent="0.3">
      <c r="A994" s="33"/>
      <c r="B994" s="33"/>
      <c r="C994" s="33"/>
      <c r="D994" s="33"/>
      <c r="E994" s="33"/>
      <c r="F994" s="33"/>
      <c r="G994" s="33"/>
      <c r="H994" s="33"/>
    </row>
    <row r="995" spans="1:8" s="54" customFormat="1" ht="11.4" customHeight="1" x14ac:dyDescent="0.3">
      <c r="A995" s="33"/>
      <c r="B995" s="33"/>
      <c r="C995" s="33"/>
      <c r="D995" s="33"/>
      <c r="E995" s="33"/>
      <c r="F995" s="33"/>
      <c r="G995" s="33"/>
      <c r="H995" s="33"/>
    </row>
    <row r="996" spans="1:8" s="54" customFormat="1" ht="11.4" customHeight="1" x14ac:dyDescent="0.3">
      <c r="A996" s="33"/>
      <c r="B996" s="33"/>
      <c r="C996" s="33"/>
      <c r="D996" s="33"/>
      <c r="E996" s="33"/>
      <c r="F996" s="33"/>
      <c r="G996" s="33"/>
      <c r="H996" s="33"/>
    </row>
    <row r="997" spans="1:8" s="54" customFormat="1" ht="11.4" customHeight="1" x14ac:dyDescent="0.3">
      <c r="A997" s="33"/>
      <c r="B997" s="33"/>
      <c r="C997" s="33"/>
      <c r="D997" s="33"/>
      <c r="E997" s="33"/>
      <c r="F997" s="33"/>
      <c r="G997" s="33"/>
      <c r="H997" s="33"/>
    </row>
    <row r="998" spans="1:8" s="54" customFormat="1" ht="11.4" customHeight="1" x14ac:dyDescent="0.3">
      <c r="A998" s="33"/>
      <c r="B998" s="33"/>
      <c r="C998" s="33"/>
      <c r="D998" s="33"/>
      <c r="E998" s="33"/>
      <c r="F998" s="33"/>
      <c r="G998" s="33"/>
      <c r="H998" s="33"/>
    </row>
    <row r="999" spans="1:8" s="54" customFormat="1" ht="11.4" customHeight="1" x14ac:dyDescent="0.3">
      <c r="A999" s="33"/>
      <c r="B999" s="33"/>
      <c r="C999" s="33"/>
      <c r="D999" s="33"/>
      <c r="E999" s="33"/>
      <c r="F999" s="33"/>
      <c r="G999" s="33"/>
      <c r="H999" s="33"/>
    </row>
  </sheetData>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999"/>
  <sheetViews>
    <sheetView topLeftCell="A2" zoomScale="70" zoomScaleNormal="70" workbookViewId="0">
      <selection activeCell="L29" sqref="L29"/>
    </sheetView>
  </sheetViews>
  <sheetFormatPr defaultColWidth="14.44140625" defaultRowHeight="14.4" x14ac:dyDescent="0.3"/>
  <cols>
    <col min="1" max="1" width="3" style="54" customWidth="1"/>
    <col min="2" max="2" width="35" style="54" customWidth="1"/>
    <col min="3" max="3" width="18" style="54" customWidth="1"/>
    <col min="4" max="4" width="30.6640625" style="54" customWidth="1"/>
    <col min="5" max="5" width="18" style="54" customWidth="1"/>
    <col min="6" max="8" width="14" style="54" customWidth="1"/>
    <col min="9" max="9" width="14.6640625" style="54" bestFit="1" customWidth="1"/>
    <col min="10" max="12" width="8.6640625" style="54" customWidth="1"/>
    <col min="13" max="13" width="29.44140625" style="54" customWidth="1"/>
    <col min="14" max="14" width="22.44140625" style="54" customWidth="1"/>
    <col min="15" max="15" width="16.6640625" style="54" bestFit="1" customWidth="1"/>
    <col min="16" max="16" width="15.5546875" style="54" bestFit="1" customWidth="1"/>
    <col min="17" max="17" width="16.77734375" style="54" bestFit="1" customWidth="1"/>
    <col min="18" max="26" width="8.6640625" style="54" customWidth="1"/>
  </cols>
  <sheetData>
    <row r="1" spans="1:9" s="54" customFormat="1" ht="11.4" customHeight="1" x14ac:dyDescent="0.3">
      <c r="A1" s="33"/>
      <c r="B1" s="33"/>
      <c r="C1" s="33"/>
      <c r="D1" s="33"/>
      <c r="E1" s="33"/>
      <c r="F1" s="33"/>
      <c r="G1" s="33"/>
      <c r="H1" s="33"/>
      <c r="I1" s="33"/>
    </row>
    <row r="2" spans="1:9" s="54" customFormat="1" ht="11.4" customHeight="1" x14ac:dyDescent="0.3">
      <c r="A2" s="33"/>
      <c r="B2" s="33"/>
      <c r="C2" s="33"/>
      <c r="D2" s="33"/>
      <c r="E2" s="33"/>
      <c r="F2" s="33"/>
      <c r="G2" s="33"/>
      <c r="H2" s="33"/>
      <c r="I2" s="33"/>
    </row>
    <row r="3" spans="1:9" s="54" customFormat="1" ht="12" customHeight="1" x14ac:dyDescent="0.3">
      <c r="A3" s="33"/>
      <c r="B3" s="10" t="s">
        <v>131</v>
      </c>
      <c r="C3" s="33"/>
      <c r="D3" s="33"/>
      <c r="E3" s="33"/>
      <c r="F3" s="33"/>
      <c r="G3" s="33"/>
      <c r="H3" s="33"/>
      <c r="I3" s="33"/>
    </row>
    <row r="4" spans="1:9" s="54" customFormat="1" ht="11.4" customHeight="1" x14ac:dyDescent="0.3">
      <c r="A4" s="33"/>
      <c r="B4" s="33"/>
      <c r="C4" s="33"/>
      <c r="D4" s="33"/>
      <c r="E4" s="33"/>
      <c r="F4" s="33"/>
      <c r="G4" s="33"/>
      <c r="H4" s="33"/>
      <c r="I4" s="33"/>
    </row>
    <row r="5" spans="1:9" s="54" customFormat="1" ht="12" customHeight="1" x14ac:dyDescent="0.3">
      <c r="A5" s="33"/>
      <c r="B5" s="37" t="s">
        <v>2</v>
      </c>
      <c r="C5" s="37" t="s">
        <v>3</v>
      </c>
      <c r="D5" s="37" t="s">
        <v>58</v>
      </c>
      <c r="E5" s="33"/>
      <c r="F5" s="33"/>
      <c r="G5" s="33"/>
      <c r="H5" s="33"/>
      <c r="I5" s="33"/>
    </row>
    <row r="6" spans="1:9" s="54" customFormat="1" ht="12" customHeight="1" x14ac:dyDescent="0.3">
      <c r="A6" s="33"/>
      <c r="B6" s="41" t="s">
        <v>132</v>
      </c>
      <c r="C6" s="44">
        <f>Денежные_потоки!H15</f>
        <v>13198468.739984231</v>
      </c>
      <c r="D6" s="49" t="s">
        <v>133</v>
      </c>
      <c r="E6" s="33"/>
      <c r="F6" s="33"/>
      <c r="G6" s="33"/>
      <c r="H6" s="33"/>
      <c r="I6" s="33"/>
    </row>
    <row r="7" spans="1:9" s="54" customFormat="1" ht="27.6" x14ac:dyDescent="0.3">
      <c r="A7" s="33"/>
      <c r="B7" s="41" t="s">
        <v>134</v>
      </c>
      <c r="C7" s="45">
        <f>IRR(Денежные_потоки!C13:H13)</f>
        <v>0.56610800816843221</v>
      </c>
      <c r="D7" s="49" t="s">
        <v>135</v>
      </c>
      <c r="E7" s="33"/>
      <c r="F7" s="33"/>
      <c r="G7" s="33"/>
      <c r="H7" s="33"/>
      <c r="I7" s="33"/>
    </row>
    <row r="8" spans="1:9" s="54" customFormat="1" ht="22.8" x14ac:dyDescent="0.3">
      <c r="A8" s="33"/>
      <c r="B8" s="41" t="s">
        <v>136</v>
      </c>
      <c r="C8" s="45">
        <f>SUM(Денежные_потоки!D11:H11)/SUM(Денежные_потоки!D8:H8)</f>
        <v>1.150591359296828</v>
      </c>
      <c r="D8" s="49" t="s">
        <v>137</v>
      </c>
      <c r="E8" s="33"/>
      <c r="F8" s="33"/>
      <c r="G8" s="33"/>
      <c r="H8" s="33"/>
      <c r="I8" s="33"/>
    </row>
    <row r="9" spans="1:9" s="54" customFormat="1" ht="22.8" x14ac:dyDescent="0.3">
      <c r="A9" s="33"/>
      <c r="B9" s="41" t="s">
        <v>138</v>
      </c>
      <c r="C9" s="46">
        <f>COUNTIF(Денежные_потоки!C15:H15,"&lt;0")</f>
        <v>3</v>
      </c>
      <c r="D9" s="49" t="s">
        <v>139</v>
      </c>
      <c r="E9" s="33"/>
      <c r="F9" s="33"/>
      <c r="G9" s="33"/>
      <c r="H9" s="33"/>
      <c r="I9" s="33"/>
    </row>
    <row r="10" spans="1:9" s="54" customFormat="1" ht="27.6" x14ac:dyDescent="0.3">
      <c r="A10" s="33"/>
      <c r="B10" s="41" t="s">
        <v>140</v>
      </c>
      <c r="C10" s="47">
        <f>SUM(Затраты!C45:G45)/(SUM(Прогноз_Выручки!C15:G15)/Допущения!$C$27+SUM(Прогноз_Выручки!C16:G16)/Допущения!$D$27+SUM(Прогноз_Выручки!C17:G17)/Допущения!$E$27)</f>
        <v>3.0370831502236069</v>
      </c>
      <c r="D10" s="49" t="s">
        <v>141</v>
      </c>
      <c r="E10" s="33"/>
      <c r="F10" s="33"/>
      <c r="G10" s="33"/>
      <c r="H10" s="33"/>
      <c r="I10" s="33"/>
    </row>
    <row r="11" spans="1:9" s="54" customFormat="1" ht="22.8" x14ac:dyDescent="0.3">
      <c r="A11" s="33"/>
      <c r="B11" s="41" t="s">
        <v>142</v>
      </c>
      <c r="C11" s="48">
        <f>SUM(Прогноз_Выручки!C18:G18)/SUM(Затраты!C45:G45)</f>
        <v>5.068243624791541</v>
      </c>
      <c r="D11" s="49" t="s">
        <v>143</v>
      </c>
      <c r="E11" s="33"/>
      <c r="F11" s="33"/>
      <c r="G11" s="33"/>
      <c r="H11" s="33"/>
      <c r="I11" s="33"/>
    </row>
    <row r="12" spans="1:9" s="54" customFormat="1" ht="11.4" customHeight="1" x14ac:dyDescent="0.3">
      <c r="A12" s="33"/>
      <c r="B12" s="41" t="s">
        <v>144</v>
      </c>
      <c r="C12" s="45">
        <f>MIRR(Денежные_потоки!C13:H13,Допущения!$C$7,Допущения!$C$7)</f>
        <v>0.42730246875486411</v>
      </c>
      <c r="D12" s="49" t="s">
        <v>145</v>
      </c>
      <c r="E12" s="33"/>
      <c r="F12" s="33"/>
      <c r="G12" s="33"/>
      <c r="H12" s="33"/>
      <c r="I12" s="33"/>
    </row>
    <row r="13" spans="1:9" s="54" customFormat="1" ht="11.4" customHeight="1" x14ac:dyDescent="0.3">
      <c r="A13" s="33"/>
      <c r="B13" s="33"/>
      <c r="C13" s="33"/>
      <c r="D13" s="33"/>
      <c r="E13" s="33"/>
      <c r="F13" s="33"/>
      <c r="G13" s="33"/>
      <c r="H13" s="33"/>
      <c r="I13" s="33"/>
    </row>
    <row r="14" spans="1:9" s="54" customFormat="1" ht="12" customHeight="1" x14ac:dyDescent="0.3">
      <c r="A14" s="33"/>
      <c r="B14" s="10" t="s">
        <v>146</v>
      </c>
      <c r="C14" s="33"/>
      <c r="D14" s="33"/>
      <c r="E14" s="33"/>
      <c r="F14" s="33"/>
      <c r="G14" s="33"/>
      <c r="H14" s="33"/>
      <c r="I14" s="33"/>
    </row>
    <row r="15" spans="1:9" s="54" customFormat="1" ht="11.4" customHeight="1" x14ac:dyDescent="0.3">
      <c r="A15" s="33"/>
      <c r="B15" s="33"/>
      <c r="C15" s="33"/>
      <c r="D15" s="33"/>
      <c r="E15" s="33"/>
      <c r="F15" s="33"/>
      <c r="G15" s="33"/>
      <c r="H15" s="33"/>
      <c r="I15" s="33"/>
    </row>
    <row r="16" spans="1:9" s="54" customFormat="1" ht="12" customHeight="1" x14ac:dyDescent="0.3">
      <c r="A16" s="33"/>
      <c r="B16" s="37" t="s">
        <v>94</v>
      </c>
      <c r="C16" s="37" t="s">
        <v>147</v>
      </c>
      <c r="D16" s="37" t="s">
        <v>148</v>
      </c>
      <c r="E16" s="37" t="s">
        <v>149</v>
      </c>
      <c r="F16" s="33"/>
      <c r="G16" s="33"/>
      <c r="H16" s="33"/>
      <c r="I16" s="33"/>
    </row>
    <row r="17" spans="1:9" s="54" customFormat="1" ht="12" customHeight="1" x14ac:dyDescent="0.3">
      <c r="A17" s="33"/>
      <c r="B17" s="41" t="s">
        <v>50</v>
      </c>
      <c r="C17" s="29">
        <f>SUM(Прогноз_Выручки!C15:G15)</f>
        <v>25582930.529464707</v>
      </c>
      <c r="D17" s="29">
        <f>SUM(Затраты!E12:I12)</f>
        <v>11876565.068926269</v>
      </c>
      <c r="E17" s="50">
        <f>C17/D17-1</f>
        <v>1.1540681485760258</v>
      </c>
      <c r="F17" s="33"/>
      <c r="G17" s="33"/>
      <c r="H17" s="33"/>
      <c r="I17" s="33"/>
    </row>
    <row r="18" spans="1:9" s="54" customFormat="1" ht="12" customHeight="1" x14ac:dyDescent="0.3">
      <c r="A18" s="33"/>
      <c r="B18" s="41" t="s">
        <v>51</v>
      </c>
      <c r="C18" s="29">
        <f>SUM(Прогноз_Выручки!C16:G16)</f>
        <v>67027526.027220696</v>
      </c>
      <c r="D18" s="29">
        <f>SUM(Затраты!E24:I24)</f>
        <v>11952447.198684711</v>
      </c>
      <c r="E18" s="50">
        <f>C18/D18-1</f>
        <v>4.6078495820166969</v>
      </c>
      <c r="F18" s="33"/>
      <c r="G18" s="33"/>
      <c r="H18" s="33"/>
      <c r="I18" s="33"/>
    </row>
    <row r="19" spans="1:9" s="54" customFormat="1" ht="12" customHeight="1" x14ac:dyDescent="0.3">
      <c r="A19" s="33"/>
      <c r="B19" s="41" t="s">
        <v>52</v>
      </c>
      <c r="C19" s="29">
        <f>SUM(Прогноз_Выручки!C17:G17)</f>
        <v>88738697.26910466</v>
      </c>
      <c r="D19" s="29">
        <f>SUM(Затраты!E36:I36)</f>
        <v>11952447.198684711</v>
      </c>
      <c r="E19" s="50">
        <f>C19/D19-1</f>
        <v>6.4243120085792791</v>
      </c>
      <c r="F19" s="33"/>
      <c r="G19" s="33"/>
      <c r="H19" s="33"/>
      <c r="I19" s="33"/>
    </row>
    <row r="20" spans="1:9" s="54" customFormat="1" ht="11.4" customHeight="1" x14ac:dyDescent="0.3">
      <c r="A20" s="33"/>
      <c r="B20" s="33"/>
      <c r="C20" s="33"/>
      <c r="D20" s="33"/>
      <c r="E20" s="33"/>
      <c r="F20" s="33"/>
      <c r="G20" s="33"/>
      <c r="H20" s="33"/>
      <c r="I20" s="33"/>
    </row>
    <row r="21" spans="1:9" s="54" customFormat="1" ht="11.4" customHeight="1" x14ac:dyDescent="0.3">
      <c r="A21" s="33"/>
      <c r="B21" s="33"/>
      <c r="C21" s="33"/>
      <c r="D21" s="33"/>
      <c r="E21" s="33"/>
      <c r="F21" s="33"/>
      <c r="G21" s="33"/>
      <c r="H21" s="33"/>
      <c r="I21" s="33"/>
    </row>
    <row r="22" spans="1:9" s="54" customFormat="1" ht="12" customHeight="1" x14ac:dyDescent="0.3">
      <c r="A22" s="33"/>
      <c r="B22" s="10" t="s">
        <v>150</v>
      </c>
      <c r="C22" s="33"/>
      <c r="D22" s="33"/>
      <c r="E22" s="33"/>
      <c r="F22" s="33"/>
      <c r="G22" s="33"/>
      <c r="H22" s="33"/>
      <c r="I22" s="33"/>
    </row>
    <row r="23" spans="1:9" s="54" customFormat="1" ht="11.4" customHeight="1" x14ac:dyDescent="0.3">
      <c r="A23" s="33"/>
      <c r="B23" s="33"/>
      <c r="C23" s="33"/>
      <c r="D23" s="33"/>
      <c r="E23" s="33"/>
      <c r="F23" s="33"/>
      <c r="G23" s="33"/>
      <c r="H23" s="33"/>
      <c r="I23" s="33"/>
    </row>
    <row r="24" spans="1:9" s="54" customFormat="1" ht="12" customHeight="1" x14ac:dyDescent="0.3">
      <c r="A24" s="33"/>
      <c r="B24" s="37" t="s">
        <v>2</v>
      </c>
      <c r="C24" s="37" t="s">
        <v>151</v>
      </c>
      <c r="D24" s="37" t="s">
        <v>95</v>
      </c>
      <c r="E24" s="37" t="s">
        <v>96</v>
      </c>
      <c r="F24" s="37" t="s">
        <v>97</v>
      </c>
      <c r="G24" s="37" t="s">
        <v>98</v>
      </c>
      <c r="H24" s="37" t="s">
        <v>99</v>
      </c>
      <c r="I24" s="37" t="s">
        <v>152</v>
      </c>
    </row>
    <row r="25" spans="1:9" s="54" customFormat="1" ht="12" customHeight="1" x14ac:dyDescent="0.3">
      <c r="A25" s="33"/>
      <c r="B25" s="41" t="s">
        <v>119</v>
      </c>
      <c r="C25" s="29">
        <f>Денежные_потоки!C5</f>
        <v>0</v>
      </c>
      <c r="D25" s="29">
        <f>Денежные_потоки!D5</f>
        <v>21244557.649999999</v>
      </c>
      <c r="E25" s="29">
        <f>Денежные_потоки!E5</f>
        <v>30579288.728799999</v>
      </c>
      <c r="F25" s="29">
        <f>Денежные_потоки!F5</f>
        <v>38177045.596623257</v>
      </c>
      <c r="G25" s="29">
        <f>Денежные_потоки!G5</f>
        <v>43869576.798815481</v>
      </c>
      <c r="H25" s="29">
        <f>Денежные_потоки!H5</f>
        <v>47478685.05155132</v>
      </c>
      <c r="I25" s="32">
        <f>SUM(C25:H25)</f>
        <v>181349153.82579005</v>
      </c>
    </row>
    <row r="26" spans="1:9" s="54" customFormat="1" ht="12" customHeight="1" x14ac:dyDescent="0.3">
      <c r="A26" s="33"/>
      <c r="B26" s="41" t="s">
        <v>130</v>
      </c>
      <c r="C26" s="29">
        <f>Денежные_потоки!C8</f>
        <v>0</v>
      </c>
      <c r="D26" s="29">
        <f>Денежные_потоки!D8</f>
        <v>8780169.4700897932</v>
      </c>
      <c r="E26" s="29">
        <f>Денежные_потоки!E8</f>
        <v>8438699.8861768059</v>
      </c>
      <c r="F26" s="29">
        <f>Денежные_потоки!F8</f>
        <v>6769293.031491084</v>
      </c>
      <c r="G26" s="29">
        <f>Денежные_потоки!G8</f>
        <v>6389882.3826988749</v>
      </c>
      <c r="H26" s="29">
        <f>Денежные_потоки!H8</f>
        <v>5403414.6958391294</v>
      </c>
      <c r="I26" s="32">
        <f>SUM(C26:H26)</f>
        <v>35781459.466295689</v>
      </c>
    </row>
    <row r="27" spans="1:9" s="54" customFormat="1" ht="12" customHeight="1" x14ac:dyDescent="0.3">
      <c r="A27" s="33"/>
      <c r="B27" s="31" t="s">
        <v>153</v>
      </c>
      <c r="C27" s="51">
        <f>Денежные_потоки!C13</f>
        <v>-8780169.4700897932</v>
      </c>
      <c r="D27" s="51">
        <f>Денежные_потоки!D13</f>
        <v>1381582.0161826545</v>
      </c>
      <c r="E27" s="51">
        <f>Денежные_потоки!E13</f>
        <v>5138208.3586673951</v>
      </c>
      <c r="F27" s="51">
        <f>Денежные_потоки!F13</f>
        <v>9239422.3251154087</v>
      </c>
      <c r="G27" s="51">
        <f>Денежные_потоки!G13</f>
        <v>11658679.512531649</v>
      </c>
      <c r="H27" s="51">
        <f>Денежные_потоки!H13</f>
        <v>13751945.872452397</v>
      </c>
      <c r="I27" s="40">
        <f>SUM(C27:H27)</f>
        <v>32389668.614859711</v>
      </c>
    </row>
    <row r="28" spans="1:9" s="54" customFormat="1" ht="12" customHeight="1" x14ac:dyDescent="0.3">
      <c r="A28" s="33"/>
      <c r="B28" s="31" t="s">
        <v>129</v>
      </c>
      <c r="C28" s="51">
        <f>Денежные_потоки!C15</f>
        <v>-8780169.4700897932</v>
      </c>
      <c r="D28" s="51">
        <f>Денежные_потоки!D15</f>
        <v>-7617221.6450202186</v>
      </c>
      <c r="E28" s="51">
        <f>Денежные_потоки!E15</f>
        <v>-3976572.4775122297</v>
      </c>
      <c r="F28" s="51">
        <f>Денежные_потоки!F15</f>
        <v>1533984.4947478394</v>
      </c>
      <c r="G28" s="51">
        <f>Денежные_потоки!G15</f>
        <v>7387052.9230636414</v>
      </c>
      <c r="H28" s="51">
        <f>Денежные_потоки!H15</f>
        <v>13198468.739984231</v>
      </c>
      <c r="I28" s="33"/>
    </row>
    <row r="29" spans="1:9" s="54" customFormat="1" ht="11.4" customHeight="1" x14ac:dyDescent="0.3">
      <c r="A29" s="33"/>
      <c r="B29" s="33"/>
      <c r="C29" s="33"/>
      <c r="D29" s="33"/>
      <c r="E29" s="33"/>
      <c r="F29" s="33"/>
      <c r="G29" s="33"/>
      <c r="H29" s="33"/>
      <c r="I29" s="33"/>
    </row>
    <row r="30" spans="1:9" s="54" customFormat="1" ht="11.4" customHeight="1" x14ac:dyDescent="0.3">
      <c r="A30" s="33"/>
      <c r="B30" s="33"/>
      <c r="C30" s="33"/>
      <c r="D30" s="33"/>
      <c r="E30" s="33"/>
      <c r="F30" s="33"/>
      <c r="G30" s="33"/>
      <c r="H30" s="33"/>
      <c r="I30" s="33"/>
    </row>
    <row r="31" spans="1:9" s="54" customFormat="1" ht="11.4" customHeight="1" x14ac:dyDescent="0.3">
      <c r="A31" s="33"/>
      <c r="B31" s="33"/>
      <c r="C31" s="33"/>
      <c r="D31" s="33"/>
      <c r="E31" s="33"/>
      <c r="F31" s="33"/>
      <c r="G31" s="33"/>
      <c r="H31" s="33"/>
      <c r="I31" s="33"/>
    </row>
    <row r="32" spans="1:9" s="54" customFormat="1" ht="11.4" customHeight="1" x14ac:dyDescent="0.3">
      <c r="A32" s="33"/>
      <c r="B32" s="33"/>
      <c r="C32" s="33"/>
      <c r="D32" s="33"/>
      <c r="E32" s="33"/>
      <c r="F32" s="33"/>
      <c r="G32" s="33"/>
      <c r="H32" s="33"/>
      <c r="I32" s="33"/>
    </row>
    <row r="33" spans="1:23" s="54" customFormat="1" ht="11.4" customHeight="1" x14ac:dyDescent="0.3">
      <c r="A33" s="33"/>
      <c r="B33" s="33"/>
      <c r="C33" s="33"/>
      <c r="D33" s="33"/>
      <c r="E33" s="33"/>
      <c r="F33" s="33"/>
      <c r="G33" s="33"/>
      <c r="H33" s="33"/>
      <c r="I33" s="33"/>
    </row>
    <row r="34" spans="1:23" s="54" customFormat="1" ht="11.4" customHeight="1" x14ac:dyDescent="0.3">
      <c r="A34" s="33"/>
      <c r="B34" s="33"/>
      <c r="C34" s="33"/>
      <c r="D34" s="33"/>
      <c r="E34" s="33"/>
      <c r="F34" s="33"/>
      <c r="G34" s="33"/>
      <c r="H34" s="33"/>
      <c r="I34" s="33"/>
    </row>
    <row r="35" spans="1:23" s="54" customFormat="1" ht="11.4" customHeight="1" x14ac:dyDescent="0.3">
      <c r="A35" s="33"/>
      <c r="B35" s="33"/>
      <c r="C35" s="33"/>
      <c r="D35" s="33"/>
      <c r="E35" s="33"/>
      <c r="F35" s="33"/>
      <c r="G35" s="33"/>
      <c r="H35" s="33"/>
      <c r="I35" s="33"/>
    </row>
    <row r="36" spans="1:23" s="54" customFormat="1" ht="11.4" customHeight="1" x14ac:dyDescent="0.3">
      <c r="A36" s="33"/>
      <c r="B36" s="33"/>
      <c r="C36" s="33"/>
      <c r="D36" s="33"/>
      <c r="E36" s="33"/>
      <c r="F36" s="33"/>
      <c r="G36" s="33"/>
      <c r="H36" s="33"/>
      <c r="I36" s="33"/>
    </row>
    <row r="37" spans="1:23" s="54" customFormat="1" ht="11.4" customHeight="1" x14ac:dyDescent="0.3">
      <c r="A37" s="33"/>
      <c r="B37" s="33"/>
      <c r="C37" s="33"/>
      <c r="D37" s="33"/>
      <c r="E37" s="33"/>
      <c r="F37" s="33"/>
      <c r="G37" s="33"/>
      <c r="H37" s="33"/>
      <c r="I37" s="33"/>
      <c r="K37" s="58"/>
      <c r="L37" s="58"/>
      <c r="M37" s="58"/>
      <c r="N37" s="58"/>
      <c r="O37" s="58"/>
      <c r="P37" s="58"/>
      <c r="Q37" s="58"/>
    </row>
    <row r="38" spans="1:23" s="54" customFormat="1" ht="11.4" customHeight="1" x14ac:dyDescent="0.3">
      <c r="A38" s="33"/>
      <c r="B38" s="33"/>
      <c r="C38" s="33"/>
      <c r="D38" s="33"/>
      <c r="E38" s="33"/>
      <c r="F38" s="33"/>
      <c r="G38" s="33"/>
      <c r="H38" s="33"/>
      <c r="I38" s="33"/>
      <c r="K38" s="58"/>
      <c r="L38" s="58"/>
      <c r="M38" s="58"/>
      <c r="N38" s="58"/>
      <c r="O38" s="58"/>
      <c r="P38" s="58"/>
      <c r="Q38" s="58"/>
    </row>
    <row r="39" spans="1:23" s="54" customFormat="1" ht="11.4" customHeight="1" x14ac:dyDescent="0.3">
      <c r="A39" s="33"/>
      <c r="B39" s="33"/>
      <c r="C39" s="33"/>
      <c r="D39" s="33"/>
      <c r="E39" s="33"/>
      <c r="F39" s="33"/>
      <c r="G39" s="33"/>
      <c r="H39" s="33"/>
      <c r="I39" s="33"/>
      <c r="K39" s="58"/>
      <c r="L39" s="58"/>
      <c r="M39" s="58"/>
      <c r="N39" s="58"/>
      <c r="O39" s="58"/>
      <c r="P39" s="58"/>
      <c r="Q39" s="58"/>
    </row>
    <row r="40" spans="1:23" s="54" customFormat="1" ht="11.4" customHeight="1" x14ac:dyDescent="0.3">
      <c r="A40" s="33"/>
      <c r="B40" s="33"/>
      <c r="C40" s="33"/>
      <c r="D40" s="33"/>
      <c r="E40" s="33"/>
      <c r="F40" s="33"/>
      <c r="G40" s="33"/>
      <c r="H40" s="33"/>
      <c r="I40" s="33"/>
      <c r="K40" s="58"/>
      <c r="L40" s="58"/>
      <c r="M40" s="58"/>
      <c r="N40" s="58"/>
      <c r="O40" s="58"/>
      <c r="P40" s="58"/>
      <c r="Q40" s="58"/>
      <c r="R40" s="58"/>
      <c r="S40" s="58"/>
      <c r="T40" s="58"/>
      <c r="U40" s="58"/>
      <c r="V40" s="58"/>
      <c r="W40" s="58"/>
    </row>
    <row r="41" spans="1:23" s="54" customFormat="1" ht="11.4" customHeight="1" x14ac:dyDescent="0.3">
      <c r="A41" s="33"/>
      <c r="B41" s="33"/>
      <c r="C41" s="33"/>
      <c r="D41" s="33"/>
      <c r="E41" s="33"/>
      <c r="F41" s="33"/>
      <c r="G41" s="33"/>
      <c r="H41" s="33"/>
      <c r="I41" s="33"/>
      <c r="K41" s="58"/>
      <c r="L41" s="58"/>
      <c r="M41" s="58"/>
      <c r="N41" s="58"/>
      <c r="O41" s="58"/>
      <c r="P41" s="58"/>
      <c r="Q41" s="58"/>
      <c r="R41" s="58"/>
      <c r="S41" s="58"/>
      <c r="T41" s="58"/>
      <c r="U41" s="58"/>
      <c r="V41" s="58"/>
      <c r="W41" s="58"/>
    </row>
    <row r="42" spans="1:23" s="54" customFormat="1" ht="11.4" customHeight="1" x14ac:dyDescent="0.3">
      <c r="A42" s="33"/>
      <c r="B42" s="33"/>
      <c r="C42" s="33"/>
      <c r="D42" s="33"/>
      <c r="E42" s="33"/>
      <c r="F42" s="33"/>
      <c r="G42" s="33"/>
      <c r="H42" s="33"/>
      <c r="I42" s="33"/>
      <c r="K42" s="58"/>
      <c r="L42" s="58"/>
      <c r="M42" s="58"/>
      <c r="N42" s="58"/>
      <c r="O42" s="58"/>
      <c r="P42" s="58"/>
      <c r="Q42" s="58"/>
      <c r="R42" s="58"/>
      <c r="S42" s="58"/>
      <c r="T42" s="58"/>
      <c r="U42" s="58"/>
      <c r="V42" s="58"/>
      <c r="W42" s="58"/>
    </row>
    <row r="43" spans="1:23" s="54" customFormat="1" ht="11.4" customHeight="1" x14ac:dyDescent="0.3">
      <c r="A43" s="33"/>
      <c r="B43" s="33"/>
      <c r="C43" s="33"/>
      <c r="D43" s="33"/>
      <c r="E43" s="33"/>
      <c r="F43" s="33"/>
      <c r="G43" s="33"/>
      <c r="H43" s="33"/>
      <c r="I43" s="33"/>
      <c r="K43" s="58"/>
      <c r="L43" s="58"/>
      <c r="M43" s="58"/>
      <c r="N43" s="58"/>
      <c r="O43" s="58"/>
      <c r="P43" s="58"/>
      <c r="Q43" s="58"/>
      <c r="R43" s="58"/>
      <c r="S43" s="58"/>
      <c r="T43" s="58"/>
      <c r="U43" s="58"/>
      <c r="V43" s="58"/>
      <c r="W43" s="58"/>
    </row>
    <row r="44" spans="1:23" s="54" customFormat="1" ht="11.4" customHeight="1" x14ac:dyDescent="0.3">
      <c r="A44" s="33"/>
      <c r="B44" s="33"/>
      <c r="C44" s="33"/>
      <c r="D44" s="33"/>
      <c r="E44" s="33"/>
      <c r="F44" s="33"/>
      <c r="G44" s="33"/>
      <c r="H44" s="33"/>
      <c r="I44" s="33"/>
      <c r="K44" s="58"/>
      <c r="L44" s="58"/>
      <c r="M44" s="58"/>
      <c r="N44" s="58"/>
      <c r="O44" s="58"/>
      <c r="P44" s="58"/>
      <c r="Q44" s="58"/>
      <c r="R44" s="58"/>
      <c r="S44" s="58"/>
      <c r="T44" s="58"/>
      <c r="U44" s="58"/>
      <c r="V44" s="58"/>
      <c r="W44" s="58"/>
    </row>
    <row r="45" spans="1:23" s="54" customFormat="1" ht="11.4" customHeight="1" x14ac:dyDescent="0.3">
      <c r="A45" s="33"/>
      <c r="B45" s="33"/>
      <c r="C45" s="33"/>
      <c r="D45" s="33"/>
      <c r="E45" s="33"/>
      <c r="F45" s="33"/>
      <c r="G45" s="33"/>
      <c r="H45" s="33"/>
      <c r="I45" s="33"/>
      <c r="K45" s="58"/>
      <c r="L45" s="58"/>
      <c r="M45" s="58"/>
      <c r="N45" s="58"/>
      <c r="O45" s="58"/>
      <c r="P45" s="58"/>
      <c r="Q45" s="58"/>
      <c r="R45" s="58"/>
      <c r="S45" s="58"/>
      <c r="T45" s="58"/>
      <c r="U45" s="58"/>
      <c r="V45" s="58"/>
      <c r="W45" s="58"/>
    </row>
    <row r="46" spans="1:23" s="54" customFormat="1" ht="11.4" customHeight="1" x14ac:dyDescent="0.3">
      <c r="A46" s="33"/>
      <c r="B46" s="33"/>
      <c r="C46" s="33"/>
      <c r="D46" s="33"/>
      <c r="E46" s="33"/>
      <c r="F46" s="33"/>
      <c r="G46" s="33"/>
      <c r="H46" s="33"/>
      <c r="I46" s="33"/>
      <c r="K46" s="58"/>
      <c r="L46" s="58"/>
      <c r="M46" s="58"/>
      <c r="N46" s="58"/>
      <c r="O46" s="58"/>
      <c r="P46" s="58"/>
      <c r="Q46" s="58"/>
      <c r="R46" s="58"/>
      <c r="S46" s="58"/>
      <c r="T46" s="58"/>
      <c r="U46" s="58"/>
      <c r="V46" s="58"/>
      <c r="W46" s="58"/>
    </row>
    <row r="47" spans="1:23" s="54" customFormat="1" ht="11.4" customHeight="1" x14ac:dyDescent="0.3">
      <c r="A47" s="33"/>
      <c r="B47" s="33"/>
      <c r="C47" s="33"/>
      <c r="D47" s="33"/>
      <c r="E47" s="33"/>
      <c r="F47" s="33"/>
      <c r="G47" s="33"/>
      <c r="H47" s="33"/>
      <c r="I47" s="33"/>
      <c r="K47" s="58"/>
      <c r="L47" s="58"/>
      <c r="M47" s="58"/>
      <c r="N47" s="58"/>
      <c r="O47" s="58"/>
      <c r="P47" s="58"/>
      <c r="Q47" s="58"/>
      <c r="R47" s="58"/>
      <c r="S47" s="58"/>
      <c r="T47" s="58"/>
      <c r="U47" s="58"/>
      <c r="V47" s="58"/>
      <c r="W47" s="58"/>
    </row>
    <row r="48" spans="1:23" s="54" customFormat="1" ht="11.4" customHeight="1" x14ac:dyDescent="0.3">
      <c r="A48" s="33"/>
      <c r="B48" s="33"/>
      <c r="C48" s="33"/>
      <c r="D48" s="33"/>
      <c r="E48" s="33"/>
      <c r="F48" s="33"/>
      <c r="G48" s="33"/>
      <c r="H48" s="33"/>
      <c r="I48" s="33"/>
      <c r="K48" s="58"/>
      <c r="L48" s="58"/>
      <c r="M48" s="58"/>
      <c r="N48" s="58"/>
      <c r="O48" s="58"/>
      <c r="P48" s="58"/>
      <c r="Q48" s="58"/>
      <c r="R48" s="58"/>
      <c r="S48" s="58"/>
      <c r="T48" s="58"/>
      <c r="U48" s="58"/>
      <c r="V48" s="58"/>
      <c r="W48" s="58"/>
    </row>
    <row r="49" spans="1:23" s="54" customFormat="1" ht="11.4" customHeight="1" x14ac:dyDescent="0.3">
      <c r="A49" s="33"/>
      <c r="B49" s="33"/>
      <c r="C49" s="33"/>
      <c r="D49" s="33"/>
      <c r="E49" s="33"/>
      <c r="F49" s="33"/>
      <c r="G49" s="33"/>
      <c r="H49" s="33"/>
      <c r="I49" s="33"/>
      <c r="K49" s="58"/>
      <c r="L49" s="58"/>
      <c r="M49" s="58"/>
      <c r="N49" s="58"/>
      <c r="O49" s="58"/>
      <c r="P49" s="58"/>
      <c r="Q49" s="58"/>
      <c r="R49" s="58"/>
      <c r="S49" s="58"/>
      <c r="T49" s="58"/>
      <c r="U49" s="58"/>
      <c r="V49" s="58"/>
      <c r="W49" s="58"/>
    </row>
    <row r="50" spans="1:23" s="54" customFormat="1" ht="11.4" customHeight="1" x14ac:dyDescent="0.3">
      <c r="A50" s="33"/>
      <c r="B50" s="33"/>
      <c r="C50" s="33"/>
      <c r="D50" s="33"/>
      <c r="E50" s="33"/>
      <c r="F50" s="33"/>
      <c r="G50" s="33"/>
      <c r="H50" s="33"/>
      <c r="I50" s="33"/>
      <c r="K50" s="58"/>
      <c r="L50" s="58"/>
      <c r="M50" s="58"/>
      <c r="N50" s="58"/>
      <c r="O50" s="58"/>
      <c r="P50" s="58"/>
      <c r="Q50" s="58"/>
      <c r="R50" s="58"/>
      <c r="S50" s="58"/>
      <c r="T50" s="58"/>
      <c r="U50" s="58"/>
      <c r="V50" s="58"/>
      <c r="W50" s="58"/>
    </row>
    <row r="51" spans="1:23" s="54" customFormat="1" ht="11.4" customHeight="1" x14ac:dyDescent="0.3">
      <c r="A51" s="33"/>
      <c r="B51" s="33"/>
      <c r="C51" s="33"/>
      <c r="D51" s="33"/>
      <c r="E51" s="33"/>
      <c r="F51" s="33"/>
      <c r="G51" s="33"/>
      <c r="H51" s="33"/>
      <c r="I51" s="33"/>
      <c r="K51" s="58"/>
      <c r="L51" s="58"/>
      <c r="M51" s="58"/>
      <c r="N51" s="58"/>
      <c r="O51" s="58"/>
      <c r="P51" s="58"/>
      <c r="Q51" s="58"/>
      <c r="R51" s="58"/>
      <c r="S51" s="58"/>
      <c r="T51" s="58"/>
      <c r="U51" s="58"/>
      <c r="V51" s="58"/>
      <c r="W51" s="58"/>
    </row>
    <row r="52" spans="1:23" s="54" customFormat="1" ht="11.4" customHeight="1" x14ac:dyDescent="0.3">
      <c r="A52" s="33"/>
      <c r="B52" s="33"/>
      <c r="C52" s="33"/>
      <c r="D52" s="33"/>
      <c r="E52" s="33"/>
      <c r="F52" s="33"/>
      <c r="G52" s="33"/>
      <c r="H52" s="33"/>
      <c r="I52" s="33"/>
      <c r="K52" s="58"/>
      <c r="L52" s="58"/>
      <c r="M52" s="58"/>
      <c r="N52" s="58"/>
      <c r="O52" s="58"/>
      <c r="P52" s="58"/>
      <c r="Q52" s="58"/>
      <c r="R52" s="58"/>
      <c r="S52" s="58"/>
      <c r="T52" s="58"/>
      <c r="U52" s="58"/>
      <c r="V52" s="58"/>
      <c r="W52" s="58"/>
    </row>
    <row r="53" spans="1:23" s="54" customFormat="1" ht="11.4" customHeight="1" x14ac:dyDescent="0.3">
      <c r="A53" s="33"/>
      <c r="B53" s="33"/>
      <c r="C53" s="33"/>
      <c r="D53" s="33"/>
      <c r="E53" s="33"/>
      <c r="F53" s="33"/>
      <c r="G53" s="33"/>
      <c r="H53" s="33"/>
      <c r="I53" s="33"/>
      <c r="K53" s="58"/>
      <c r="L53" s="58"/>
      <c r="M53" s="58"/>
      <c r="N53" s="58"/>
      <c r="O53" s="58"/>
      <c r="P53" s="58"/>
      <c r="Q53" s="58"/>
      <c r="R53" s="58"/>
      <c r="S53" s="58"/>
      <c r="T53" s="58"/>
      <c r="U53" s="58"/>
      <c r="V53" s="58"/>
      <c r="W53" s="58"/>
    </row>
    <row r="54" spans="1:23" s="54" customFormat="1" ht="11.4" customHeight="1" x14ac:dyDescent="0.3">
      <c r="A54" s="33"/>
      <c r="B54" s="33"/>
      <c r="C54" s="33"/>
      <c r="D54" s="33"/>
      <c r="E54" s="33"/>
      <c r="F54" s="33"/>
      <c r="G54" s="33"/>
      <c r="H54" s="33"/>
      <c r="I54" s="33"/>
      <c r="K54" s="58"/>
      <c r="L54" s="58"/>
      <c r="M54" s="58"/>
      <c r="N54" s="58"/>
      <c r="O54" s="58"/>
      <c r="P54" s="58"/>
      <c r="Q54" s="58"/>
      <c r="R54" s="58"/>
      <c r="S54" s="58"/>
      <c r="T54" s="58"/>
      <c r="U54" s="58"/>
      <c r="V54" s="58"/>
      <c r="W54" s="58"/>
    </row>
    <row r="55" spans="1:23" s="54" customFormat="1" ht="11.4" customHeight="1" x14ac:dyDescent="0.3">
      <c r="A55" s="33"/>
      <c r="B55" s="33"/>
      <c r="C55" s="33"/>
      <c r="D55" s="33"/>
      <c r="E55" s="33"/>
      <c r="F55" s="33"/>
      <c r="G55" s="33"/>
      <c r="H55" s="33"/>
      <c r="I55" s="33"/>
      <c r="K55" s="58"/>
      <c r="L55" s="58"/>
      <c r="M55" s="58"/>
      <c r="N55" s="58"/>
      <c r="O55" s="58"/>
      <c r="P55" s="58"/>
      <c r="Q55" s="58"/>
      <c r="R55" s="58"/>
      <c r="S55" s="58"/>
      <c r="T55" s="58"/>
      <c r="U55" s="58"/>
      <c r="V55" s="58"/>
      <c r="W55" s="58"/>
    </row>
    <row r="56" spans="1:23" s="54" customFormat="1" ht="11.4" customHeight="1" x14ac:dyDescent="0.3">
      <c r="A56" s="33"/>
      <c r="B56" s="33"/>
      <c r="C56" s="33"/>
      <c r="D56" s="33"/>
      <c r="E56" s="33"/>
      <c r="F56" s="33"/>
      <c r="G56" s="33"/>
      <c r="H56" s="33"/>
      <c r="I56" s="33"/>
      <c r="M56" s="58"/>
      <c r="N56" s="58"/>
      <c r="O56" s="58"/>
      <c r="P56" s="58"/>
      <c r="Q56" s="58"/>
      <c r="R56" s="58"/>
      <c r="S56" s="58"/>
      <c r="T56" s="58"/>
      <c r="U56" s="58"/>
      <c r="V56" s="58"/>
      <c r="W56" s="58"/>
    </row>
    <row r="57" spans="1:23" s="54" customFormat="1" ht="11.4" customHeight="1" x14ac:dyDescent="0.3">
      <c r="A57" s="33"/>
      <c r="B57" s="33"/>
      <c r="C57" s="33"/>
      <c r="D57" s="33"/>
      <c r="E57" s="33"/>
      <c r="F57" s="33"/>
      <c r="G57" s="33"/>
      <c r="H57" s="33"/>
      <c r="I57" s="33"/>
      <c r="M57" s="58"/>
      <c r="N57" s="58"/>
      <c r="O57" s="58"/>
      <c r="P57" s="58"/>
      <c r="Q57" s="58"/>
      <c r="R57" s="58"/>
      <c r="S57" s="58"/>
      <c r="T57" s="58"/>
      <c r="U57" s="58"/>
      <c r="V57" s="58"/>
      <c r="W57" s="58"/>
    </row>
    <row r="58" spans="1:23" s="54" customFormat="1" ht="11.4" customHeight="1" x14ac:dyDescent="0.3">
      <c r="A58" s="33"/>
      <c r="B58" s="33"/>
      <c r="C58" s="33"/>
      <c r="D58" s="33"/>
      <c r="E58" s="33"/>
      <c r="F58" s="33"/>
      <c r="G58" s="33"/>
      <c r="H58" s="33"/>
      <c r="I58" s="33"/>
      <c r="M58" s="58"/>
      <c r="N58" s="58"/>
      <c r="O58" s="58"/>
      <c r="P58" s="58"/>
      <c r="Q58" s="58"/>
      <c r="R58" s="58"/>
      <c r="S58" s="58"/>
      <c r="T58" s="58"/>
      <c r="U58" s="58"/>
      <c r="V58" s="58"/>
      <c r="W58" s="58"/>
    </row>
    <row r="59" spans="1:23" s="54" customFormat="1" ht="11.4" customHeight="1" x14ac:dyDescent="0.3">
      <c r="A59" s="33"/>
      <c r="B59" s="33"/>
      <c r="C59" s="33"/>
      <c r="D59" s="33"/>
      <c r="E59" s="33"/>
      <c r="F59" s="33"/>
      <c r="G59" s="33"/>
      <c r="H59" s="33"/>
      <c r="I59" s="33"/>
      <c r="M59" s="58"/>
      <c r="N59" s="58"/>
      <c r="O59" s="58"/>
      <c r="P59" s="58"/>
      <c r="Q59" s="58"/>
      <c r="R59" s="58"/>
      <c r="S59" s="58"/>
      <c r="T59" s="58"/>
      <c r="U59" s="58"/>
      <c r="V59" s="58"/>
      <c r="W59" s="58"/>
    </row>
    <row r="60" spans="1:23" s="54" customFormat="1" ht="11.4" customHeight="1" x14ac:dyDescent="0.3">
      <c r="A60" s="33"/>
      <c r="B60" s="33"/>
      <c r="C60" s="33"/>
      <c r="D60" s="33"/>
      <c r="E60" s="33"/>
      <c r="F60" s="33"/>
      <c r="G60" s="33"/>
      <c r="H60" s="33"/>
      <c r="I60" s="33"/>
      <c r="M60" s="58"/>
      <c r="N60" s="58"/>
      <c r="O60" s="58"/>
      <c r="P60" s="58"/>
      <c r="Q60" s="58"/>
      <c r="R60" s="58"/>
      <c r="S60" s="58"/>
      <c r="T60" s="58"/>
      <c r="U60" s="58"/>
      <c r="V60" s="58"/>
      <c r="W60" s="58"/>
    </row>
    <row r="61" spans="1:23" s="54" customFormat="1" ht="3" customHeight="1" x14ac:dyDescent="0.3">
      <c r="A61" s="33"/>
      <c r="B61" s="33"/>
      <c r="C61" s="33"/>
      <c r="D61" s="33"/>
      <c r="E61" s="33"/>
      <c r="F61" s="33"/>
      <c r="G61" s="33"/>
      <c r="H61" s="33"/>
      <c r="I61" s="33"/>
      <c r="M61" s="58"/>
      <c r="N61" s="58"/>
      <c r="O61" s="58"/>
      <c r="P61" s="58"/>
      <c r="Q61" s="58"/>
      <c r="R61" s="58"/>
      <c r="S61" s="58"/>
      <c r="T61" s="58"/>
      <c r="U61" s="58"/>
      <c r="V61" s="58"/>
      <c r="W61" s="58"/>
    </row>
    <row r="62" spans="1:23" s="54" customFormat="1" ht="22.2" customHeight="1" x14ac:dyDescent="0.3">
      <c r="A62" s="33"/>
      <c r="B62" s="33"/>
      <c r="C62" s="33"/>
      <c r="D62" s="33"/>
      <c r="E62" s="33"/>
      <c r="F62" s="33"/>
      <c r="G62" s="33"/>
      <c r="H62" s="33"/>
      <c r="I62" s="33"/>
      <c r="M62" s="58"/>
      <c r="N62" s="58"/>
      <c r="O62" s="58"/>
      <c r="P62" s="58"/>
      <c r="Q62" s="58"/>
      <c r="R62" s="58"/>
      <c r="S62" s="58"/>
      <c r="T62" s="58"/>
      <c r="U62" s="58"/>
      <c r="V62" s="58"/>
      <c r="W62" s="58"/>
    </row>
    <row r="63" spans="1:23" s="54" customFormat="1" ht="18.600000000000001" customHeight="1" x14ac:dyDescent="0.3">
      <c r="A63" s="33"/>
      <c r="B63" s="33"/>
      <c r="C63" s="33"/>
      <c r="D63" s="33"/>
      <c r="E63" s="33"/>
      <c r="F63" s="33"/>
      <c r="G63" s="33"/>
      <c r="H63" s="33"/>
      <c r="I63" s="33"/>
      <c r="M63" s="58"/>
      <c r="N63" s="58"/>
      <c r="O63" s="58"/>
      <c r="P63" s="58"/>
      <c r="Q63" s="58"/>
      <c r="R63" s="58"/>
      <c r="S63" s="58"/>
      <c r="T63" s="58"/>
      <c r="U63" s="58"/>
      <c r="V63" s="58"/>
      <c r="W63" s="58"/>
    </row>
    <row r="64" spans="1:23" s="54" customFormat="1" ht="11.4" customHeight="1" x14ac:dyDescent="0.3">
      <c r="A64" s="33"/>
      <c r="B64" s="33"/>
      <c r="C64" s="33"/>
      <c r="D64" s="33"/>
      <c r="E64" s="33"/>
      <c r="F64" s="33"/>
      <c r="G64" s="33"/>
      <c r="H64" s="33"/>
      <c r="I64" s="33"/>
      <c r="M64" s="58"/>
      <c r="N64" s="58"/>
      <c r="O64" s="58"/>
      <c r="P64" s="58"/>
      <c r="Q64" s="58"/>
      <c r="R64" s="58"/>
      <c r="S64" s="58"/>
      <c r="T64" s="58"/>
      <c r="U64" s="58"/>
      <c r="V64" s="58"/>
      <c r="W64" s="58"/>
    </row>
    <row r="65" spans="1:23" s="54" customFormat="1" ht="18.600000000000001" customHeight="1" x14ac:dyDescent="0.3">
      <c r="A65" s="33"/>
      <c r="B65" s="33"/>
      <c r="C65" s="33"/>
      <c r="D65" s="33"/>
      <c r="E65" s="33"/>
      <c r="F65" s="33"/>
      <c r="G65" s="33"/>
      <c r="H65" s="33"/>
      <c r="I65" s="33"/>
      <c r="M65" s="58"/>
      <c r="N65" s="58"/>
      <c r="O65" s="58"/>
      <c r="P65" s="58"/>
      <c r="Q65" s="58"/>
      <c r="R65" s="58"/>
      <c r="S65" s="58"/>
      <c r="T65" s="58"/>
      <c r="U65" s="58"/>
      <c r="V65" s="58"/>
      <c r="W65" s="58"/>
    </row>
    <row r="66" spans="1:23" s="54" customFormat="1" ht="11.4" customHeight="1" x14ac:dyDescent="0.3">
      <c r="A66" s="33"/>
      <c r="B66" s="33"/>
      <c r="C66" s="33"/>
      <c r="D66" s="33"/>
      <c r="E66" s="33"/>
      <c r="F66" s="33"/>
      <c r="G66" s="33"/>
      <c r="H66" s="33"/>
      <c r="I66" s="33"/>
      <c r="M66" s="58"/>
      <c r="N66" s="58"/>
      <c r="O66" s="58"/>
      <c r="P66" s="58"/>
      <c r="Q66" s="58"/>
      <c r="R66" s="58"/>
      <c r="S66" s="58"/>
      <c r="T66" s="58"/>
      <c r="U66" s="58"/>
      <c r="V66" s="58"/>
      <c r="W66" s="58"/>
    </row>
    <row r="67" spans="1:23" s="54" customFormat="1" ht="18.600000000000001" customHeight="1" x14ac:dyDescent="0.3">
      <c r="A67" s="33"/>
      <c r="B67" s="33"/>
      <c r="C67" s="33"/>
      <c r="D67" s="33"/>
      <c r="E67" s="33"/>
      <c r="F67" s="33"/>
      <c r="G67" s="33"/>
      <c r="H67" s="33"/>
      <c r="I67" s="33"/>
      <c r="M67" s="58"/>
      <c r="N67" s="58"/>
      <c r="O67" s="58"/>
      <c r="P67" s="58"/>
      <c r="Q67" s="58"/>
      <c r="R67" s="58"/>
      <c r="S67" s="58"/>
      <c r="T67" s="58"/>
      <c r="U67" s="58"/>
      <c r="V67" s="58"/>
      <c r="W67" s="58"/>
    </row>
    <row r="68" spans="1:23" s="54" customFormat="1" ht="11.4" customHeight="1" x14ac:dyDescent="0.3">
      <c r="A68" s="33"/>
      <c r="B68" s="33"/>
      <c r="C68" s="33"/>
      <c r="D68" s="33"/>
      <c r="E68" s="33"/>
      <c r="F68" s="33"/>
      <c r="G68" s="33"/>
      <c r="H68" s="33"/>
      <c r="I68" s="33"/>
      <c r="M68" s="58"/>
      <c r="N68" s="58"/>
      <c r="O68" s="58"/>
      <c r="P68" s="58"/>
      <c r="Q68" s="58"/>
      <c r="R68" s="58"/>
      <c r="S68" s="58"/>
      <c r="T68" s="58"/>
      <c r="U68" s="58"/>
      <c r="V68" s="58"/>
      <c r="W68" s="58"/>
    </row>
    <row r="69" spans="1:23" s="54" customFormat="1" ht="11.4" customHeight="1" x14ac:dyDescent="0.3">
      <c r="A69" s="33"/>
      <c r="B69" s="33"/>
      <c r="C69" s="33"/>
      <c r="D69" s="33"/>
      <c r="E69" s="33"/>
      <c r="F69" s="33"/>
      <c r="G69" s="33"/>
      <c r="H69" s="33"/>
      <c r="I69" s="33"/>
      <c r="M69" s="58"/>
      <c r="N69" s="58"/>
      <c r="O69" s="58"/>
      <c r="P69" s="58"/>
      <c r="Q69" s="58"/>
      <c r="R69" s="58"/>
      <c r="S69" s="58"/>
      <c r="T69" s="58"/>
      <c r="U69" s="58"/>
      <c r="V69" s="58"/>
      <c r="W69" s="58"/>
    </row>
    <row r="70" spans="1:23" s="54" customFormat="1" ht="11.4" customHeight="1" x14ac:dyDescent="0.3">
      <c r="A70" s="33"/>
      <c r="B70" s="33"/>
      <c r="C70" s="33"/>
      <c r="D70" s="33"/>
      <c r="E70" s="33"/>
      <c r="F70" s="33"/>
      <c r="G70" s="33"/>
      <c r="H70" s="33"/>
      <c r="I70" s="33"/>
      <c r="M70" s="58"/>
      <c r="N70" s="58"/>
      <c r="O70" s="58"/>
      <c r="P70" s="58"/>
      <c r="Q70" s="58"/>
      <c r="R70" s="58"/>
      <c r="S70" s="58"/>
      <c r="T70" s="58"/>
      <c r="U70" s="58"/>
      <c r="V70" s="58"/>
      <c r="W70" s="58"/>
    </row>
    <row r="71" spans="1:23" s="54" customFormat="1" ht="11.4" customHeight="1" x14ac:dyDescent="0.3">
      <c r="A71" s="33"/>
      <c r="B71" s="33"/>
      <c r="C71" s="33"/>
      <c r="D71" s="33"/>
      <c r="E71" s="33"/>
      <c r="F71" s="33"/>
      <c r="G71" s="33"/>
      <c r="H71" s="33"/>
      <c r="I71" s="33"/>
      <c r="M71" s="58"/>
      <c r="N71" s="58"/>
      <c r="O71" s="58"/>
      <c r="P71" s="58"/>
      <c r="Q71" s="58"/>
      <c r="R71" s="58"/>
      <c r="S71" s="58"/>
      <c r="T71" s="58"/>
      <c r="U71" s="58"/>
      <c r="V71" s="58"/>
      <c r="W71" s="58"/>
    </row>
    <row r="72" spans="1:23" s="54" customFormat="1" ht="11.4" customHeight="1" x14ac:dyDescent="0.3">
      <c r="A72" s="33"/>
      <c r="B72" s="33"/>
      <c r="C72" s="33"/>
      <c r="D72" s="33"/>
      <c r="E72" s="33"/>
      <c r="F72" s="33"/>
      <c r="G72" s="33"/>
      <c r="H72" s="33"/>
      <c r="I72" s="33"/>
      <c r="M72" s="58"/>
      <c r="N72" s="58"/>
      <c r="O72" s="58"/>
      <c r="P72" s="58"/>
      <c r="Q72" s="58"/>
      <c r="R72" s="58"/>
      <c r="S72" s="58"/>
      <c r="T72" s="58"/>
      <c r="U72" s="58"/>
      <c r="V72" s="58"/>
      <c r="W72" s="58"/>
    </row>
    <row r="73" spans="1:23" s="54" customFormat="1" ht="11.4" customHeight="1" x14ac:dyDescent="0.3">
      <c r="A73" s="33"/>
      <c r="B73" s="33"/>
      <c r="C73" s="33"/>
      <c r="D73" s="33"/>
      <c r="E73" s="33"/>
      <c r="F73" s="33"/>
      <c r="G73" s="33"/>
      <c r="H73" s="33"/>
      <c r="I73" s="33"/>
      <c r="M73" s="58"/>
      <c r="N73" s="58"/>
      <c r="O73" s="58"/>
      <c r="P73" s="58"/>
      <c r="Q73" s="58"/>
      <c r="R73" s="58"/>
      <c r="S73" s="58"/>
      <c r="T73" s="58"/>
      <c r="U73" s="58"/>
      <c r="V73" s="58"/>
      <c r="W73" s="58"/>
    </row>
    <row r="74" spans="1:23" s="54" customFormat="1" ht="11.4" customHeight="1" x14ac:dyDescent="0.3">
      <c r="A74" s="33"/>
      <c r="B74" s="33"/>
      <c r="C74" s="33"/>
      <c r="D74" s="33"/>
      <c r="E74" s="33"/>
      <c r="F74" s="33"/>
      <c r="G74" s="33"/>
      <c r="H74" s="33"/>
      <c r="I74" s="33"/>
      <c r="M74" s="58"/>
      <c r="N74" s="58"/>
      <c r="O74" s="58"/>
      <c r="P74" s="58"/>
      <c r="Q74" s="58"/>
      <c r="R74" s="58"/>
      <c r="S74" s="58"/>
      <c r="T74" s="58"/>
      <c r="U74" s="58"/>
      <c r="V74" s="58"/>
      <c r="W74" s="58"/>
    </row>
    <row r="75" spans="1:23" s="54" customFormat="1" ht="11.4" customHeight="1" x14ac:dyDescent="0.3">
      <c r="A75" s="33"/>
      <c r="B75" s="33"/>
      <c r="C75" s="33"/>
      <c r="D75" s="33"/>
      <c r="E75" s="33"/>
      <c r="F75" s="33"/>
      <c r="G75" s="33"/>
      <c r="H75" s="33"/>
      <c r="I75" s="33"/>
      <c r="M75" s="58"/>
      <c r="N75" s="58"/>
      <c r="O75" s="58"/>
      <c r="P75" s="58"/>
      <c r="Q75" s="58"/>
      <c r="R75" s="58"/>
      <c r="S75" s="58"/>
      <c r="T75" s="58"/>
      <c r="U75" s="58"/>
      <c r="V75" s="58"/>
      <c r="W75" s="58"/>
    </row>
    <row r="76" spans="1:23" s="54" customFormat="1" ht="11.4" customHeight="1" x14ac:dyDescent="0.3">
      <c r="A76" s="33"/>
      <c r="B76" s="33"/>
      <c r="C76" s="33"/>
      <c r="D76" s="33"/>
      <c r="E76" s="33"/>
      <c r="F76" s="33"/>
      <c r="G76" s="33"/>
      <c r="H76" s="33"/>
      <c r="I76" s="33"/>
      <c r="M76" s="58"/>
      <c r="N76" s="58"/>
      <c r="O76" s="58"/>
      <c r="P76" s="58"/>
      <c r="Q76" s="58"/>
      <c r="R76" s="58"/>
      <c r="S76" s="58"/>
      <c r="T76" s="58"/>
      <c r="U76" s="58"/>
      <c r="V76" s="58"/>
      <c r="W76" s="58"/>
    </row>
    <row r="77" spans="1:23" s="54" customFormat="1" ht="11.4" customHeight="1" x14ac:dyDescent="0.3">
      <c r="A77" s="33"/>
      <c r="B77" s="33"/>
      <c r="C77" s="33"/>
      <c r="D77" s="33"/>
      <c r="E77" s="33"/>
      <c r="F77" s="33"/>
      <c r="G77" s="33"/>
      <c r="H77" s="33"/>
      <c r="I77" s="33"/>
      <c r="M77" s="58"/>
      <c r="N77" s="58"/>
      <c r="O77" s="58"/>
      <c r="P77" s="58"/>
      <c r="Q77" s="58"/>
      <c r="R77" s="58"/>
      <c r="S77" s="58"/>
      <c r="T77" s="58"/>
      <c r="U77" s="58"/>
      <c r="V77" s="58"/>
      <c r="W77" s="58"/>
    </row>
    <row r="78" spans="1:23" s="54" customFormat="1" ht="11.4" customHeight="1" x14ac:dyDescent="0.3">
      <c r="A78" s="33"/>
      <c r="B78" s="33"/>
      <c r="C78" s="33"/>
      <c r="D78" s="33"/>
      <c r="E78" s="33"/>
      <c r="F78" s="33"/>
      <c r="G78" s="33"/>
      <c r="H78" s="33"/>
      <c r="I78" s="33"/>
      <c r="M78" s="58"/>
      <c r="N78" s="58"/>
      <c r="O78" s="58"/>
      <c r="P78" s="58"/>
      <c r="Q78" s="58"/>
      <c r="R78" s="58"/>
      <c r="S78" s="58"/>
      <c r="T78" s="58"/>
      <c r="U78" s="58"/>
      <c r="V78" s="58"/>
      <c r="W78" s="58"/>
    </row>
    <row r="79" spans="1:23" s="54" customFormat="1" ht="11.4" customHeight="1" x14ac:dyDescent="0.3">
      <c r="A79" s="33"/>
      <c r="B79" s="33"/>
      <c r="C79" s="33"/>
      <c r="D79" s="33"/>
      <c r="E79" s="33"/>
      <c r="F79" s="33"/>
      <c r="G79" s="33"/>
      <c r="H79" s="33"/>
      <c r="I79" s="33"/>
      <c r="M79" s="58"/>
      <c r="N79" s="58"/>
      <c r="O79" s="58"/>
      <c r="P79" s="58"/>
      <c r="Q79" s="58"/>
      <c r="R79" s="58"/>
      <c r="S79" s="58"/>
      <c r="T79" s="58"/>
      <c r="U79" s="58"/>
      <c r="V79" s="58"/>
      <c r="W79" s="58"/>
    </row>
    <row r="80" spans="1:23" s="54" customFormat="1" ht="11.4" customHeight="1" x14ac:dyDescent="0.3">
      <c r="A80" s="33"/>
      <c r="B80" s="33"/>
      <c r="C80" s="33"/>
      <c r="D80" s="33"/>
      <c r="E80" s="33"/>
      <c r="F80" s="33"/>
      <c r="G80" s="33"/>
      <c r="H80" s="33"/>
      <c r="I80" s="33"/>
      <c r="M80" s="58"/>
      <c r="N80" s="58"/>
      <c r="O80" s="58"/>
      <c r="P80" s="58"/>
      <c r="Q80" s="58"/>
      <c r="R80" s="58"/>
      <c r="S80" s="58"/>
      <c r="T80" s="58"/>
      <c r="U80" s="58"/>
      <c r="V80" s="58"/>
      <c r="W80" s="58"/>
    </row>
    <row r="81" spans="1:23" s="54" customFormat="1" ht="11.4" customHeight="1" x14ac:dyDescent="0.3">
      <c r="A81" s="33"/>
      <c r="B81" s="33"/>
      <c r="C81" s="33"/>
      <c r="D81" s="33"/>
      <c r="E81" s="33"/>
      <c r="F81" s="33"/>
      <c r="G81" s="33"/>
      <c r="H81" s="33"/>
      <c r="I81" s="33"/>
      <c r="M81" s="58"/>
      <c r="N81" s="58"/>
      <c r="O81" s="58"/>
      <c r="P81" s="58"/>
      <c r="Q81" s="58"/>
      <c r="R81" s="58"/>
      <c r="S81" s="58"/>
      <c r="T81" s="58"/>
      <c r="U81" s="58"/>
      <c r="V81" s="58"/>
      <c r="W81" s="58"/>
    </row>
    <row r="82" spans="1:23" s="54" customFormat="1" ht="11.4" customHeight="1" x14ac:dyDescent="0.3">
      <c r="A82" s="33"/>
      <c r="B82" s="33"/>
      <c r="C82" s="33"/>
      <c r="D82" s="33"/>
      <c r="E82" s="33"/>
      <c r="F82" s="33"/>
      <c r="G82" s="33"/>
      <c r="H82" s="33"/>
      <c r="I82" s="33"/>
      <c r="M82" s="58"/>
      <c r="N82" s="58"/>
      <c r="O82" s="58"/>
      <c r="P82" s="58"/>
      <c r="Q82" s="58"/>
      <c r="R82" s="58"/>
      <c r="S82" s="58"/>
      <c r="T82" s="58"/>
      <c r="U82" s="58"/>
      <c r="V82" s="58"/>
      <c r="W82" s="58"/>
    </row>
    <row r="83" spans="1:23" s="54" customFormat="1" ht="11.4" customHeight="1" x14ac:dyDescent="0.3">
      <c r="A83" s="33"/>
      <c r="B83" s="33"/>
      <c r="C83" s="33"/>
      <c r="D83" s="33"/>
      <c r="E83" s="33"/>
      <c r="F83" s="33"/>
      <c r="G83" s="33"/>
      <c r="H83" s="33"/>
      <c r="I83" s="33"/>
      <c r="M83" s="58"/>
      <c r="N83" s="58"/>
      <c r="O83" s="58"/>
      <c r="P83" s="58"/>
      <c r="Q83" s="58"/>
      <c r="R83" s="58"/>
      <c r="S83" s="58"/>
      <c r="T83" s="58"/>
      <c r="U83" s="58"/>
      <c r="V83" s="58"/>
      <c r="W83" s="58"/>
    </row>
    <row r="84" spans="1:23" s="54" customFormat="1" ht="11.4" customHeight="1" x14ac:dyDescent="0.3">
      <c r="A84" s="33"/>
      <c r="B84" s="33"/>
      <c r="C84" s="33"/>
      <c r="D84" s="33"/>
      <c r="E84" s="33"/>
      <c r="F84" s="33"/>
      <c r="G84" s="33"/>
      <c r="H84" s="33"/>
      <c r="I84" s="33"/>
      <c r="M84" s="58"/>
      <c r="N84" s="58"/>
      <c r="O84" s="58"/>
      <c r="P84" s="58"/>
      <c r="Q84" s="58"/>
      <c r="R84" s="58"/>
      <c r="S84" s="58"/>
      <c r="T84" s="58"/>
      <c r="U84" s="58"/>
      <c r="V84" s="58"/>
      <c r="W84" s="58"/>
    </row>
    <row r="85" spans="1:23" s="54" customFormat="1" ht="11.4" customHeight="1" x14ac:dyDescent="0.3">
      <c r="A85" s="33"/>
      <c r="B85" s="33"/>
      <c r="C85" s="33"/>
      <c r="D85" s="33"/>
      <c r="E85" s="33"/>
      <c r="F85" s="33"/>
      <c r="G85" s="33"/>
      <c r="H85" s="33"/>
      <c r="I85" s="33"/>
      <c r="M85" s="58"/>
      <c r="N85" s="58"/>
      <c r="O85" s="58"/>
      <c r="P85" s="58"/>
      <c r="Q85" s="58"/>
      <c r="R85" s="58"/>
      <c r="S85" s="58"/>
      <c r="T85" s="58"/>
      <c r="U85" s="58"/>
      <c r="V85" s="58"/>
      <c r="W85" s="58"/>
    </row>
    <row r="86" spans="1:23" s="54" customFormat="1" ht="11.4" customHeight="1" x14ac:dyDescent="0.3">
      <c r="A86" s="33"/>
      <c r="B86" s="33"/>
      <c r="C86" s="33"/>
      <c r="D86" s="33"/>
      <c r="E86" s="33"/>
      <c r="F86" s="33"/>
      <c r="G86" s="33"/>
      <c r="H86" s="33"/>
      <c r="I86" s="33"/>
      <c r="M86" s="58"/>
      <c r="N86" s="58"/>
      <c r="O86" s="58"/>
      <c r="P86" s="58"/>
      <c r="Q86" s="58"/>
      <c r="R86" s="58"/>
      <c r="S86" s="58"/>
      <c r="T86" s="58"/>
      <c r="U86" s="58"/>
      <c r="V86" s="58"/>
      <c r="W86" s="58"/>
    </row>
    <row r="87" spans="1:23" s="54" customFormat="1" ht="11.4" customHeight="1" x14ac:dyDescent="0.3">
      <c r="A87" s="33"/>
      <c r="B87" s="33"/>
      <c r="C87" s="33"/>
      <c r="D87" s="33"/>
      <c r="E87" s="33"/>
      <c r="F87" s="33"/>
      <c r="G87" s="33"/>
      <c r="H87" s="33"/>
      <c r="I87" s="33"/>
    </row>
    <row r="88" spans="1:23" s="54" customFormat="1" ht="11.4" customHeight="1" x14ac:dyDescent="0.3">
      <c r="A88" s="33"/>
      <c r="B88" s="33"/>
      <c r="C88" s="33"/>
      <c r="D88" s="33"/>
      <c r="E88" s="33"/>
      <c r="F88" s="33"/>
      <c r="G88" s="33"/>
      <c r="H88" s="33"/>
      <c r="I88" s="33"/>
    </row>
    <row r="89" spans="1:23" s="54" customFormat="1" ht="11.4" customHeight="1" x14ac:dyDescent="0.3">
      <c r="A89" s="33"/>
      <c r="B89" s="33"/>
      <c r="C89" s="33"/>
      <c r="D89" s="33"/>
      <c r="E89" s="33"/>
      <c r="F89" s="33"/>
      <c r="G89" s="33"/>
      <c r="H89" s="33"/>
      <c r="I89" s="33"/>
    </row>
    <row r="90" spans="1:23" s="54" customFormat="1" ht="11.4" customHeight="1" x14ac:dyDescent="0.3">
      <c r="A90" s="33"/>
      <c r="B90" s="33"/>
      <c r="C90" s="33"/>
      <c r="D90" s="33"/>
      <c r="E90" s="33"/>
      <c r="F90" s="33"/>
      <c r="G90" s="33"/>
      <c r="H90" s="33"/>
      <c r="I90" s="33"/>
    </row>
    <row r="91" spans="1:23" s="54" customFormat="1" ht="11.4" customHeight="1" x14ac:dyDescent="0.3">
      <c r="A91" s="33"/>
      <c r="B91" s="33"/>
      <c r="C91" s="33"/>
      <c r="D91" s="33"/>
      <c r="E91" s="33"/>
      <c r="F91" s="33"/>
      <c r="G91" s="33"/>
      <c r="H91" s="33"/>
      <c r="I91" s="33"/>
    </row>
    <row r="92" spans="1:23" s="54" customFormat="1" ht="11.4" customHeight="1" x14ac:dyDescent="0.3">
      <c r="A92" s="33"/>
      <c r="B92" s="33"/>
      <c r="C92" s="33"/>
      <c r="D92" s="33"/>
      <c r="E92" s="33"/>
      <c r="F92" s="33"/>
      <c r="G92" s="33"/>
      <c r="H92" s="33"/>
      <c r="I92" s="33"/>
    </row>
    <row r="93" spans="1:23" s="54" customFormat="1" ht="11.4" customHeight="1" x14ac:dyDescent="0.3">
      <c r="A93" s="33"/>
      <c r="B93" s="33"/>
      <c r="C93" s="33"/>
      <c r="D93" s="33"/>
      <c r="E93" s="33"/>
      <c r="F93" s="33"/>
      <c r="G93" s="33"/>
      <c r="H93" s="33"/>
      <c r="I93" s="33"/>
    </row>
    <row r="94" spans="1:23" s="54" customFormat="1" ht="11.4" customHeight="1" x14ac:dyDescent="0.3">
      <c r="A94" s="33"/>
      <c r="B94" s="33"/>
      <c r="C94" s="33"/>
      <c r="D94" s="33"/>
      <c r="E94" s="33"/>
      <c r="F94" s="33"/>
      <c r="G94" s="33"/>
      <c r="H94" s="33"/>
      <c r="I94" s="33"/>
    </row>
    <row r="95" spans="1:23" s="54" customFormat="1" ht="11.4" customHeight="1" x14ac:dyDescent="0.3">
      <c r="A95" s="33"/>
      <c r="B95" s="33"/>
      <c r="C95" s="33"/>
      <c r="D95" s="33"/>
      <c r="E95" s="33"/>
      <c r="F95" s="33"/>
      <c r="G95" s="33"/>
      <c r="H95" s="33"/>
      <c r="I95" s="33"/>
    </row>
    <row r="96" spans="1:23" s="54" customFormat="1" ht="11.4" customHeight="1" x14ac:dyDescent="0.3">
      <c r="A96" s="33"/>
      <c r="B96" s="33"/>
      <c r="C96" s="33"/>
      <c r="D96" s="33"/>
      <c r="E96" s="33"/>
      <c r="F96" s="33"/>
      <c r="G96" s="33"/>
      <c r="H96" s="33"/>
      <c r="I96" s="33"/>
    </row>
    <row r="97" spans="1:9" s="54" customFormat="1" ht="11.4" customHeight="1" x14ac:dyDescent="0.3">
      <c r="A97" s="33"/>
      <c r="B97" s="33"/>
      <c r="C97" s="33"/>
      <c r="D97" s="33"/>
      <c r="E97" s="33"/>
      <c r="F97" s="33"/>
      <c r="G97" s="33"/>
      <c r="H97" s="33"/>
      <c r="I97" s="33"/>
    </row>
    <row r="98" spans="1:9" s="54" customFormat="1" ht="11.4" customHeight="1" x14ac:dyDescent="0.3">
      <c r="A98" s="33"/>
      <c r="B98" s="33"/>
      <c r="C98" s="33"/>
      <c r="D98" s="33"/>
      <c r="E98" s="33"/>
      <c r="F98" s="33"/>
      <c r="G98" s="33"/>
      <c r="H98" s="33"/>
      <c r="I98" s="33"/>
    </row>
    <row r="99" spans="1:9" s="54" customFormat="1" ht="11.4" customHeight="1" x14ac:dyDescent="0.3">
      <c r="A99" s="33"/>
      <c r="B99" s="33"/>
      <c r="C99" s="33"/>
      <c r="D99" s="33"/>
      <c r="E99" s="33"/>
      <c r="F99" s="33"/>
      <c r="G99" s="33"/>
      <c r="H99" s="33"/>
      <c r="I99" s="33"/>
    </row>
    <row r="100" spans="1:9" s="54" customFormat="1" ht="11.4" customHeight="1" x14ac:dyDescent="0.3">
      <c r="A100" s="33"/>
      <c r="B100" s="33"/>
      <c r="C100" s="33"/>
      <c r="D100" s="33"/>
      <c r="E100" s="33"/>
      <c r="F100" s="33"/>
      <c r="G100" s="33"/>
      <c r="H100" s="33"/>
      <c r="I100" s="33"/>
    </row>
    <row r="101" spans="1:9" s="54" customFormat="1" ht="11.4" customHeight="1" x14ac:dyDescent="0.3">
      <c r="A101" s="33"/>
      <c r="B101" s="33"/>
      <c r="C101" s="33"/>
      <c r="D101" s="33"/>
      <c r="E101" s="33"/>
      <c r="F101" s="33"/>
      <c r="G101" s="33"/>
      <c r="H101" s="33"/>
      <c r="I101" s="33"/>
    </row>
    <row r="102" spans="1:9" s="54" customFormat="1" ht="11.4" customHeight="1" x14ac:dyDescent="0.3">
      <c r="A102" s="33"/>
      <c r="B102" s="33"/>
      <c r="C102" s="33"/>
      <c r="D102" s="33"/>
      <c r="E102" s="33"/>
      <c r="F102" s="33"/>
      <c r="G102" s="33"/>
      <c r="H102" s="33"/>
      <c r="I102" s="33"/>
    </row>
    <row r="103" spans="1:9" s="54" customFormat="1" ht="11.4" customHeight="1" x14ac:dyDescent="0.3">
      <c r="A103" s="33"/>
      <c r="B103" s="33"/>
      <c r="C103" s="33"/>
      <c r="D103" s="33"/>
      <c r="E103" s="33"/>
      <c r="F103" s="33"/>
      <c r="G103" s="33"/>
      <c r="H103" s="33"/>
      <c r="I103" s="33"/>
    </row>
    <row r="104" spans="1:9" s="54" customFormat="1" ht="11.4" customHeight="1" x14ac:dyDescent="0.3">
      <c r="A104" s="33"/>
      <c r="B104" s="33"/>
      <c r="C104" s="33"/>
      <c r="D104" s="33"/>
      <c r="E104" s="33"/>
      <c r="F104" s="33"/>
      <c r="G104" s="33"/>
      <c r="H104" s="33"/>
      <c r="I104" s="33"/>
    </row>
    <row r="105" spans="1:9" s="54" customFormat="1" ht="11.4" customHeight="1" x14ac:dyDescent="0.3">
      <c r="A105" s="33"/>
      <c r="B105" s="33"/>
      <c r="C105" s="33"/>
      <c r="D105" s="33"/>
      <c r="E105" s="33"/>
      <c r="F105" s="33"/>
      <c r="G105" s="33"/>
      <c r="H105" s="33"/>
      <c r="I105" s="33"/>
    </row>
    <row r="106" spans="1:9" s="54" customFormat="1" ht="11.4" customHeight="1" x14ac:dyDescent="0.3">
      <c r="A106" s="33"/>
      <c r="B106" s="33"/>
      <c r="C106" s="33"/>
      <c r="D106" s="33"/>
      <c r="E106" s="33"/>
      <c r="F106" s="33"/>
      <c r="G106" s="33"/>
      <c r="H106" s="33"/>
      <c r="I106" s="33"/>
    </row>
    <row r="107" spans="1:9" s="54" customFormat="1" ht="11.4" customHeight="1" x14ac:dyDescent="0.3">
      <c r="A107" s="33"/>
      <c r="B107" s="33"/>
      <c r="C107" s="33"/>
      <c r="D107" s="33"/>
      <c r="E107" s="33"/>
      <c r="F107" s="33"/>
      <c r="G107" s="33"/>
      <c r="H107" s="33"/>
      <c r="I107" s="33"/>
    </row>
    <row r="108" spans="1:9" s="54" customFormat="1" ht="11.4" customHeight="1" x14ac:dyDescent="0.3">
      <c r="A108" s="33"/>
      <c r="B108" s="33"/>
      <c r="C108" s="33"/>
      <c r="D108" s="33"/>
      <c r="E108" s="33"/>
      <c r="F108" s="33"/>
      <c r="G108" s="33"/>
      <c r="H108" s="33"/>
      <c r="I108" s="33"/>
    </row>
    <row r="109" spans="1:9" s="54" customFormat="1" ht="11.4" customHeight="1" x14ac:dyDescent="0.3">
      <c r="A109" s="33"/>
      <c r="B109" s="33"/>
      <c r="C109" s="33"/>
      <c r="D109" s="33"/>
      <c r="E109" s="33"/>
      <c r="F109" s="33"/>
      <c r="G109" s="33"/>
      <c r="H109" s="33"/>
      <c r="I109" s="33"/>
    </row>
    <row r="110" spans="1:9" s="54" customFormat="1" ht="11.4" customHeight="1" x14ac:dyDescent="0.3">
      <c r="A110" s="33"/>
      <c r="B110" s="33"/>
      <c r="C110" s="33"/>
      <c r="D110" s="33"/>
      <c r="E110" s="33"/>
      <c r="F110" s="33"/>
      <c r="G110" s="33"/>
      <c r="H110" s="33"/>
      <c r="I110" s="33"/>
    </row>
    <row r="111" spans="1:9" s="54" customFormat="1" ht="11.4" customHeight="1" x14ac:dyDescent="0.3">
      <c r="A111" s="33"/>
      <c r="B111" s="33"/>
      <c r="C111" s="33"/>
      <c r="D111" s="33"/>
      <c r="E111" s="33"/>
      <c r="F111" s="33"/>
      <c r="G111" s="33"/>
      <c r="H111" s="33"/>
      <c r="I111" s="33"/>
    </row>
    <row r="112" spans="1:9" s="54" customFormat="1" ht="11.4" customHeight="1" x14ac:dyDescent="0.3">
      <c r="A112" s="33"/>
      <c r="B112" s="33"/>
      <c r="C112" s="33"/>
      <c r="D112" s="33"/>
      <c r="E112" s="33"/>
      <c r="F112" s="33"/>
      <c r="G112" s="33"/>
      <c r="H112" s="33"/>
      <c r="I112" s="33"/>
    </row>
    <row r="113" spans="1:9" s="54" customFormat="1" ht="11.4" customHeight="1" x14ac:dyDescent="0.3">
      <c r="A113" s="33"/>
      <c r="B113" s="33"/>
      <c r="C113" s="33"/>
      <c r="D113" s="33"/>
      <c r="E113" s="33"/>
      <c r="F113" s="33"/>
      <c r="G113" s="33"/>
      <c r="H113" s="33"/>
      <c r="I113" s="33"/>
    </row>
    <row r="114" spans="1:9" s="54" customFormat="1" ht="11.4" customHeight="1" x14ac:dyDescent="0.3">
      <c r="A114" s="33"/>
      <c r="B114" s="33"/>
      <c r="C114" s="33"/>
      <c r="D114" s="33"/>
      <c r="E114" s="33"/>
      <c r="F114" s="33"/>
      <c r="G114" s="33"/>
      <c r="H114" s="33"/>
      <c r="I114" s="33"/>
    </row>
    <row r="115" spans="1:9" s="54" customFormat="1" ht="11.4" customHeight="1" x14ac:dyDescent="0.3">
      <c r="A115" s="33"/>
      <c r="B115" s="33"/>
      <c r="C115" s="33"/>
      <c r="D115" s="33"/>
      <c r="E115" s="33"/>
      <c r="F115" s="33"/>
      <c r="G115" s="33"/>
      <c r="H115" s="33"/>
      <c r="I115" s="33"/>
    </row>
    <row r="116" spans="1:9" s="54" customFormat="1" ht="11.4" customHeight="1" x14ac:dyDescent="0.3">
      <c r="A116" s="33"/>
      <c r="B116" s="33"/>
      <c r="C116" s="33"/>
      <c r="D116" s="33"/>
      <c r="E116" s="33"/>
      <c r="F116" s="33"/>
      <c r="G116" s="33"/>
      <c r="H116" s="33"/>
      <c r="I116" s="33"/>
    </row>
    <row r="117" spans="1:9" s="54" customFormat="1" ht="11.4" customHeight="1" x14ac:dyDescent="0.3">
      <c r="A117" s="33"/>
      <c r="B117" s="33"/>
      <c r="C117" s="33"/>
      <c r="D117" s="33"/>
      <c r="E117" s="33"/>
      <c r="F117" s="33"/>
      <c r="G117" s="33"/>
      <c r="H117" s="33"/>
      <c r="I117" s="33"/>
    </row>
    <row r="118" spans="1:9" s="54" customFormat="1" ht="11.4" customHeight="1" x14ac:dyDescent="0.3">
      <c r="A118" s="33"/>
      <c r="B118" s="33"/>
      <c r="C118" s="33"/>
      <c r="D118" s="33"/>
      <c r="E118" s="33"/>
      <c r="F118" s="33"/>
      <c r="G118" s="33"/>
      <c r="H118" s="33"/>
      <c r="I118" s="33"/>
    </row>
    <row r="119" spans="1:9" s="54" customFormat="1" ht="11.4" customHeight="1" x14ac:dyDescent="0.3">
      <c r="A119" s="33"/>
      <c r="B119" s="33"/>
      <c r="C119" s="33"/>
      <c r="D119" s="33"/>
      <c r="E119" s="33"/>
      <c r="F119" s="33"/>
      <c r="G119" s="33"/>
      <c r="H119" s="33"/>
      <c r="I119" s="33"/>
    </row>
    <row r="120" spans="1:9" s="54" customFormat="1" ht="11.4" customHeight="1" x14ac:dyDescent="0.3">
      <c r="A120" s="33"/>
      <c r="B120" s="33"/>
      <c r="C120" s="33"/>
      <c r="D120" s="33"/>
      <c r="E120" s="33"/>
      <c r="F120" s="33"/>
      <c r="G120" s="33"/>
      <c r="H120" s="33"/>
      <c r="I120" s="33"/>
    </row>
    <row r="121" spans="1:9" s="54" customFormat="1" ht="11.4" customHeight="1" x14ac:dyDescent="0.3">
      <c r="A121" s="33"/>
      <c r="B121" s="33"/>
      <c r="C121" s="33"/>
      <c r="D121" s="33"/>
      <c r="E121" s="33"/>
      <c r="F121" s="33"/>
      <c r="G121" s="33"/>
      <c r="H121" s="33"/>
      <c r="I121" s="33"/>
    </row>
    <row r="122" spans="1:9" s="54" customFormat="1" ht="11.4" customHeight="1" x14ac:dyDescent="0.3">
      <c r="A122" s="33"/>
      <c r="B122" s="33"/>
      <c r="C122" s="33"/>
      <c r="D122" s="33"/>
      <c r="E122" s="33"/>
      <c r="F122" s="33"/>
      <c r="G122" s="33"/>
      <c r="H122" s="33"/>
      <c r="I122" s="33"/>
    </row>
    <row r="123" spans="1:9" s="54" customFormat="1" ht="11.4" customHeight="1" x14ac:dyDescent="0.3">
      <c r="A123" s="33"/>
      <c r="B123" s="33"/>
      <c r="C123" s="33"/>
      <c r="D123" s="33"/>
      <c r="E123" s="33"/>
      <c r="F123" s="33"/>
      <c r="G123" s="33"/>
      <c r="H123" s="33"/>
      <c r="I123" s="33"/>
    </row>
    <row r="124" spans="1:9" s="54" customFormat="1" ht="11.4" customHeight="1" x14ac:dyDescent="0.3">
      <c r="A124" s="33"/>
      <c r="B124" s="33"/>
      <c r="C124" s="33"/>
      <c r="D124" s="33"/>
      <c r="E124" s="33"/>
      <c r="F124" s="33"/>
      <c r="G124" s="33"/>
      <c r="H124" s="33"/>
      <c r="I124" s="33"/>
    </row>
    <row r="125" spans="1:9" s="54" customFormat="1" ht="11.4" customHeight="1" x14ac:dyDescent="0.3">
      <c r="A125" s="33"/>
      <c r="B125" s="33"/>
      <c r="C125" s="33"/>
      <c r="D125" s="33"/>
      <c r="E125" s="33"/>
      <c r="F125" s="33"/>
      <c r="G125" s="33"/>
      <c r="H125" s="33"/>
      <c r="I125" s="33"/>
    </row>
    <row r="126" spans="1:9" s="54" customFormat="1" ht="11.4" customHeight="1" x14ac:dyDescent="0.3">
      <c r="A126" s="33"/>
      <c r="B126" s="33"/>
      <c r="C126" s="33"/>
      <c r="D126" s="33"/>
      <c r="E126" s="33"/>
      <c r="F126" s="33"/>
      <c r="G126" s="33"/>
      <c r="H126" s="33"/>
      <c r="I126" s="33"/>
    </row>
    <row r="127" spans="1:9" s="54" customFormat="1" ht="11.4" customHeight="1" x14ac:dyDescent="0.3">
      <c r="A127" s="33"/>
      <c r="B127" s="33"/>
      <c r="C127" s="33"/>
      <c r="D127" s="33"/>
      <c r="E127" s="33"/>
      <c r="F127" s="33"/>
      <c r="G127" s="33"/>
      <c r="H127" s="33"/>
      <c r="I127" s="33"/>
    </row>
    <row r="128" spans="1:9" s="54" customFormat="1" ht="11.4" customHeight="1" x14ac:dyDescent="0.3">
      <c r="A128" s="33"/>
      <c r="B128" s="33"/>
      <c r="C128" s="33"/>
      <c r="D128" s="33"/>
      <c r="E128" s="33"/>
      <c r="F128" s="33"/>
      <c r="G128" s="33"/>
      <c r="H128" s="33"/>
      <c r="I128" s="33"/>
    </row>
    <row r="129" spans="1:9" s="54" customFormat="1" ht="11.4" customHeight="1" x14ac:dyDescent="0.3">
      <c r="A129" s="33"/>
      <c r="B129" s="33"/>
      <c r="C129" s="33"/>
      <c r="D129" s="33"/>
      <c r="E129" s="33"/>
      <c r="F129" s="33"/>
      <c r="G129" s="33"/>
      <c r="H129" s="33"/>
      <c r="I129" s="33"/>
    </row>
    <row r="130" spans="1:9" s="54" customFormat="1" ht="11.4" customHeight="1" x14ac:dyDescent="0.3">
      <c r="A130" s="33"/>
      <c r="B130" s="33"/>
      <c r="C130" s="33"/>
      <c r="D130" s="33"/>
      <c r="E130" s="33"/>
      <c r="F130" s="33"/>
      <c r="G130" s="33"/>
      <c r="H130" s="33"/>
      <c r="I130" s="33"/>
    </row>
    <row r="131" spans="1:9" s="54" customFormat="1" ht="11.4" customHeight="1" x14ac:dyDescent="0.3">
      <c r="A131" s="33"/>
      <c r="B131" s="33"/>
      <c r="C131" s="33"/>
      <c r="D131" s="33"/>
      <c r="E131" s="33"/>
      <c r="F131" s="33"/>
      <c r="G131" s="33"/>
      <c r="H131" s="33"/>
      <c r="I131" s="33"/>
    </row>
    <row r="132" spans="1:9" s="54" customFormat="1" ht="11.4" customHeight="1" x14ac:dyDescent="0.3">
      <c r="A132" s="33"/>
      <c r="B132" s="33"/>
      <c r="C132" s="33"/>
      <c r="D132" s="33"/>
      <c r="E132" s="33"/>
      <c r="F132" s="33"/>
      <c r="G132" s="33"/>
      <c r="H132" s="33"/>
      <c r="I132" s="33"/>
    </row>
    <row r="133" spans="1:9" s="54" customFormat="1" ht="11.4" customHeight="1" x14ac:dyDescent="0.3">
      <c r="A133" s="33"/>
      <c r="B133" s="33"/>
      <c r="C133" s="33"/>
      <c r="D133" s="33"/>
      <c r="E133" s="33"/>
      <c r="F133" s="33"/>
      <c r="G133" s="33"/>
      <c r="H133" s="33"/>
      <c r="I133" s="33"/>
    </row>
    <row r="134" spans="1:9" s="54" customFormat="1" ht="11.4" customHeight="1" x14ac:dyDescent="0.3">
      <c r="A134" s="33"/>
      <c r="B134" s="33"/>
      <c r="C134" s="33"/>
      <c r="D134" s="33"/>
      <c r="E134" s="33"/>
      <c r="F134" s="33"/>
      <c r="G134" s="33"/>
      <c r="H134" s="33"/>
      <c r="I134" s="33"/>
    </row>
    <row r="135" spans="1:9" s="54" customFormat="1" ht="11.4" customHeight="1" x14ac:dyDescent="0.3">
      <c r="A135" s="33"/>
      <c r="B135" s="33"/>
      <c r="C135" s="33"/>
      <c r="D135" s="33"/>
      <c r="E135" s="33"/>
      <c r="F135" s="33"/>
      <c r="G135" s="33"/>
      <c r="H135" s="33"/>
      <c r="I135" s="33"/>
    </row>
    <row r="136" spans="1:9" s="54" customFormat="1" ht="11.4" customHeight="1" x14ac:dyDescent="0.3">
      <c r="A136" s="33"/>
      <c r="B136" s="33"/>
      <c r="C136" s="33"/>
      <c r="D136" s="33"/>
      <c r="E136" s="33"/>
      <c r="F136" s="33"/>
      <c r="G136" s="33"/>
      <c r="H136" s="33"/>
      <c r="I136" s="33"/>
    </row>
    <row r="137" spans="1:9" s="54" customFormat="1" ht="11.4" customHeight="1" x14ac:dyDescent="0.3">
      <c r="A137" s="33"/>
      <c r="B137" s="33"/>
      <c r="C137" s="33"/>
      <c r="D137" s="33"/>
      <c r="E137" s="33"/>
      <c r="F137" s="33"/>
      <c r="G137" s="33"/>
      <c r="H137" s="33"/>
      <c r="I137" s="33"/>
    </row>
    <row r="138" spans="1:9" s="54" customFormat="1" ht="11.4" customHeight="1" x14ac:dyDescent="0.3">
      <c r="A138" s="33"/>
      <c r="B138" s="33"/>
      <c r="C138" s="33"/>
      <c r="D138" s="33"/>
      <c r="E138" s="33"/>
      <c r="F138" s="33"/>
      <c r="G138" s="33"/>
      <c r="H138" s="33"/>
      <c r="I138" s="33"/>
    </row>
    <row r="139" spans="1:9" s="54" customFormat="1" ht="11.4" customHeight="1" x14ac:dyDescent="0.3">
      <c r="A139" s="33"/>
      <c r="B139" s="33"/>
      <c r="C139" s="33"/>
      <c r="D139" s="33"/>
      <c r="E139" s="33"/>
      <c r="F139" s="33"/>
      <c r="G139" s="33"/>
      <c r="H139" s="33"/>
      <c r="I139" s="33"/>
    </row>
    <row r="140" spans="1:9" s="54" customFormat="1" ht="11.4" customHeight="1" x14ac:dyDescent="0.3">
      <c r="A140" s="33"/>
      <c r="B140" s="33"/>
      <c r="C140" s="33"/>
      <c r="D140" s="33"/>
      <c r="E140" s="33"/>
      <c r="F140" s="33"/>
      <c r="G140" s="33"/>
      <c r="H140" s="33"/>
      <c r="I140" s="33"/>
    </row>
    <row r="141" spans="1:9" s="54" customFormat="1" ht="11.4" customHeight="1" x14ac:dyDescent="0.3">
      <c r="A141" s="33"/>
      <c r="B141" s="33"/>
      <c r="C141" s="33"/>
      <c r="D141" s="33"/>
      <c r="E141" s="33"/>
      <c r="F141" s="33"/>
      <c r="G141" s="33"/>
      <c r="H141" s="33"/>
      <c r="I141" s="33"/>
    </row>
    <row r="142" spans="1:9" s="54" customFormat="1" ht="11.4" customHeight="1" x14ac:dyDescent="0.3">
      <c r="A142" s="33"/>
      <c r="B142" s="33"/>
      <c r="C142" s="33"/>
      <c r="D142" s="33"/>
      <c r="E142" s="33"/>
      <c r="F142" s="33"/>
      <c r="G142" s="33"/>
      <c r="H142" s="33"/>
      <c r="I142" s="33"/>
    </row>
    <row r="143" spans="1:9" s="54" customFormat="1" ht="11.4" customHeight="1" x14ac:dyDescent="0.3">
      <c r="A143" s="33"/>
      <c r="B143" s="33"/>
      <c r="C143" s="33"/>
      <c r="D143" s="33"/>
      <c r="E143" s="33"/>
      <c r="F143" s="33"/>
      <c r="G143" s="33"/>
      <c r="H143" s="33"/>
      <c r="I143" s="33"/>
    </row>
    <row r="144" spans="1:9" s="54" customFormat="1" ht="11.4" customHeight="1" x14ac:dyDescent="0.3">
      <c r="A144" s="33"/>
      <c r="B144" s="33"/>
      <c r="C144" s="33"/>
      <c r="D144" s="33"/>
      <c r="E144" s="33"/>
      <c r="F144" s="33"/>
      <c r="G144" s="33"/>
      <c r="H144" s="33"/>
      <c r="I144" s="33"/>
    </row>
    <row r="145" spans="1:9" s="54" customFormat="1" ht="11.4" customHeight="1" x14ac:dyDescent="0.3">
      <c r="A145" s="33"/>
      <c r="B145" s="33"/>
      <c r="C145" s="33"/>
      <c r="D145" s="33"/>
      <c r="E145" s="33"/>
      <c r="F145" s="33"/>
      <c r="G145" s="33"/>
      <c r="H145" s="33"/>
      <c r="I145" s="33"/>
    </row>
    <row r="146" spans="1:9" s="54" customFormat="1" ht="11.4" customHeight="1" x14ac:dyDescent="0.3">
      <c r="A146" s="33"/>
      <c r="B146" s="33"/>
      <c r="C146" s="33"/>
      <c r="D146" s="33"/>
      <c r="E146" s="33"/>
      <c r="F146" s="33"/>
      <c r="G146" s="33"/>
      <c r="H146" s="33"/>
      <c r="I146" s="33"/>
    </row>
    <row r="147" spans="1:9" s="54" customFormat="1" ht="11.4" customHeight="1" x14ac:dyDescent="0.3">
      <c r="A147" s="33"/>
      <c r="B147" s="33"/>
      <c r="C147" s="33"/>
      <c r="D147" s="33"/>
      <c r="E147" s="33"/>
      <c r="F147" s="33"/>
      <c r="G147" s="33"/>
      <c r="H147" s="33"/>
      <c r="I147" s="33"/>
    </row>
    <row r="148" spans="1:9" s="54" customFormat="1" ht="11.4" customHeight="1" x14ac:dyDescent="0.3">
      <c r="A148" s="33"/>
      <c r="B148" s="33"/>
      <c r="C148" s="33"/>
      <c r="D148" s="33"/>
      <c r="E148" s="33"/>
      <c r="F148" s="33"/>
      <c r="G148" s="33"/>
      <c r="H148" s="33"/>
      <c r="I148" s="33"/>
    </row>
    <row r="149" spans="1:9" s="54" customFormat="1" ht="11.4" customHeight="1" x14ac:dyDescent="0.3">
      <c r="A149" s="33"/>
      <c r="B149" s="33"/>
      <c r="C149" s="33"/>
      <c r="D149" s="33"/>
      <c r="E149" s="33"/>
      <c r="F149" s="33"/>
      <c r="G149" s="33"/>
      <c r="H149" s="33"/>
      <c r="I149" s="33"/>
    </row>
    <row r="150" spans="1:9" s="54" customFormat="1" ht="11.4" customHeight="1" x14ac:dyDescent="0.3">
      <c r="A150" s="33"/>
      <c r="B150" s="33"/>
      <c r="C150" s="33"/>
      <c r="D150" s="33"/>
      <c r="E150" s="33"/>
      <c r="F150" s="33"/>
      <c r="G150" s="33"/>
      <c r="H150" s="33"/>
      <c r="I150" s="33"/>
    </row>
    <row r="151" spans="1:9" s="54" customFormat="1" ht="11.4" customHeight="1" x14ac:dyDescent="0.3">
      <c r="A151" s="33"/>
      <c r="B151" s="33"/>
      <c r="C151" s="33"/>
      <c r="D151" s="33"/>
      <c r="E151" s="33"/>
      <c r="F151" s="33"/>
      <c r="G151" s="33"/>
      <c r="H151" s="33"/>
      <c r="I151" s="33"/>
    </row>
    <row r="152" spans="1:9" s="54" customFormat="1" ht="11.4" customHeight="1" x14ac:dyDescent="0.3">
      <c r="A152" s="33"/>
      <c r="B152" s="33"/>
      <c r="C152" s="33"/>
      <c r="D152" s="33"/>
      <c r="E152" s="33"/>
      <c r="F152" s="33"/>
      <c r="G152" s="33"/>
      <c r="H152" s="33"/>
      <c r="I152" s="33"/>
    </row>
    <row r="153" spans="1:9" s="54" customFormat="1" ht="11.4" customHeight="1" x14ac:dyDescent="0.3">
      <c r="A153" s="33"/>
      <c r="B153" s="33"/>
      <c r="C153" s="33"/>
      <c r="D153" s="33"/>
      <c r="E153" s="33"/>
      <c r="F153" s="33"/>
      <c r="G153" s="33"/>
      <c r="H153" s="33"/>
      <c r="I153" s="33"/>
    </row>
    <row r="154" spans="1:9" s="54" customFormat="1" ht="11.4" customHeight="1" x14ac:dyDescent="0.3">
      <c r="A154" s="33"/>
      <c r="B154" s="33"/>
      <c r="C154" s="33"/>
      <c r="D154" s="33"/>
      <c r="E154" s="33"/>
      <c r="F154" s="33"/>
      <c r="G154" s="33"/>
      <c r="H154" s="33"/>
      <c r="I154" s="33"/>
    </row>
    <row r="155" spans="1:9" s="54" customFormat="1" ht="11.4" customHeight="1" x14ac:dyDescent="0.3">
      <c r="A155" s="33"/>
      <c r="B155" s="33"/>
      <c r="C155" s="33"/>
      <c r="D155" s="33"/>
      <c r="E155" s="33"/>
      <c r="F155" s="33"/>
      <c r="G155" s="33"/>
      <c r="H155" s="33"/>
      <c r="I155" s="33"/>
    </row>
    <row r="156" spans="1:9" s="54" customFormat="1" ht="11.4" customHeight="1" x14ac:dyDescent="0.3">
      <c r="A156" s="33"/>
      <c r="B156" s="33"/>
      <c r="C156" s="33"/>
      <c r="D156" s="33"/>
      <c r="E156" s="33"/>
      <c r="F156" s="33"/>
      <c r="G156" s="33"/>
      <c r="H156" s="33"/>
      <c r="I156" s="33"/>
    </row>
    <row r="157" spans="1:9" s="54" customFormat="1" ht="11.4" customHeight="1" x14ac:dyDescent="0.3">
      <c r="A157" s="33"/>
      <c r="B157" s="33"/>
      <c r="C157" s="33"/>
      <c r="D157" s="33"/>
      <c r="E157" s="33"/>
      <c r="F157" s="33"/>
      <c r="G157" s="33"/>
      <c r="H157" s="33"/>
      <c r="I157" s="33"/>
    </row>
    <row r="158" spans="1:9" s="54" customFormat="1" ht="11.4" customHeight="1" x14ac:dyDescent="0.3">
      <c r="A158" s="33"/>
      <c r="B158" s="33"/>
      <c r="C158" s="33"/>
      <c r="D158" s="33"/>
      <c r="E158" s="33"/>
      <c r="F158" s="33"/>
      <c r="G158" s="33"/>
      <c r="H158" s="33"/>
      <c r="I158" s="33"/>
    </row>
    <row r="159" spans="1:9" s="54" customFormat="1" ht="11.4" customHeight="1" x14ac:dyDescent="0.3">
      <c r="A159" s="33"/>
      <c r="B159" s="33"/>
      <c r="C159" s="33"/>
      <c r="D159" s="33"/>
      <c r="E159" s="33"/>
      <c r="F159" s="33"/>
      <c r="G159" s="33"/>
      <c r="H159" s="33"/>
      <c r="I159" s="33"/>
    </row>
    <row r="160" spans="1:9" s="54" customFormat="1" ht="11.4" customHeight="1" x14ac:dyDescent="0.3">
      <c r="A160" s="33"/>
      <c r="B160" s="33"/>
      <c r="C160" s="33"/>
      <c r="D160" s="33"/>
      <c r="E160" s="33"/>
      <c r="F160" s="33"/>
      <c r="G160" s="33"/>
      <c r="H160" s="33"/>
      <c r="I160" s="33"/>
    </row>
    <row r="161" spans="1:9" s="54" customFormat="1" ht="11.4" customHeight="1" x14ac:dyDescent="0.3">
      <c r="A161" s="33"/>
      <c r="B161" s="33"/>
      <c r="C161" s="33"/>
      <c r="D161" s="33"/>
      <c r="E161" s="33"/>
      <c r="F161" s="33"/>
      <c r="G161" s="33"/>
      <c r="H161" s="33"/>
      <c r="I161" s="33"/>
    </row>
    <row r="162" spans="1:9" s="54" customFormat="1" ht="11.4" customHeight="1" x14ac:dyDescent="0.3">
      <c r="A162" s="33"/>
      <c r="B162" s="33"/>
      <c r="C162" s="33"/>
      <c r="D162" s="33"/>
      <c r="E162" s="33"/>
      <c r="F162" s="33"/>
      <c r="G162" s="33"/>
      <c r="H162" s="33"/>
      <c r="I162" s="33"/>
    </row>
    <row r="163" spans="1:9" s="54" customFormat="1" ht="11.4" customHeight="1" x14ac:dyDescent="0.3">
      <c r="A163" s="33"/>
      <c r="B163" s="33"/>
      <c r="C163" s="33"/>
      <c r="D163" s="33"/>
      <c r="E163" s="33"/>
      <c r="F163" s="33"/>
      <c r="G163" s="33"/>
      <c r="H163" s="33"/>
      <c r="I163" s="33"/>
    </row>
    <row r="164" spans="1:9" s="54" customFormat="1" ht="11.4" customHeight="1" x14ac:dyDescent="0.3">
      <c r="A164" s="33"/>
      <c r="B164" s="33"/>
      <c r="C164" s="33"/>
      <c r="D164" s="33"/>
      <c r="E164" s="33"/>
      <c r="F164" s="33"/>
      <c r="G164" s="33"/>
      <c r="H164" s="33"/>
      <c r="I164" s="33"/>
    </row>
    <row r="165" spans="1:9" s="54" customFormat="1" ht="11.4" customHeight="1" x14ac:dyDescent="0.3">
      <c r="A165" s="33"/>
      <c r="B165" s="33"/>
      <c r="C165" s="33"/>
      <c r="D165" s="33"/>
      <c r="E165" s="33"/>
      <c r="F165" s="33"/>
      <c r="G165" s="33"/>
      <c r="H165" s="33"/>
      <c r="I165" s="33"/>
    </row>
    <row r="166" spans="1:9" s="54" customFormat="1" ht="11.4" customHeight="1" x14ac:dyDescent="0.3">
      <c r="A166" s="33"/>
      <c r="B166" s="33"/>
      <c r="C166" s="33"/>
      <c r="D166" s="33"/>
      <c r="E166" s="33"/>
      <c r="F166" s="33"/>
      <c r="G166" s="33"/>
      <c r="H166" s="33"/>
      <c r="I166" s="33"/>
    </row>
    <row r="167" spans="1:9" s="54" customFormat="1" ht="11.4" customHeight="1" x14ac:dyDescent="0.3">
      <c r="A167" s="33"/>
      <c r="B167" s="33"/>
      <c r="C167" s="33"/>
      <c r="D167" s="33"/>
      <c r="E167" s="33"/>
      <c r="F167" s="33"/>
      <c r="G167" s="33"/>
      <c r="H167" s="33"/>
      <c r="I167" s="33"/>
    </row>
    <row r="168" spans="1:9" s="54" customFormat="1" ht="11.4" customHeight="1" x14ac:dyDescent="0.3">
      <c r="A168" s="33"/>
      <c r="B168" s="33"/>
      <c r="C168" s="33"/>
      <c r="D168" s="33"/>
      <c r="E168" s="33"/>
      <c r="F168" s="33"/>
      <c r="G168" s="33"/>
      <c r="H168" s="33"/>
      <c r="I168" s="33"/>
    </row>
    <row r="169" spans="1:9" s="54" customFormat="1" ht="11.4" customHeight="1" x14ac:dyDescent="0.3">
      <c r="A169" s="33"/>
      <c r="B169" s="33"/>
      <c r="C169" s="33"/>
      <c r="D169" s="33"/>
      <c r="E169" s="33"/>
      <c r="F169" s="33"/>
      <c r="G169" s="33"/>
      <c r="H169" s="33"/>
      <c r="I169" s="33"/>
    </row>
    <row r="170" spans="1:9" s="54" customFormat="1" ht="11.4" customHeight="1" x14ac:dyDescent="0.3">
      <c r="A170" s="33"/>
      <c r="B170" s="33"/>
      <c r="C170" s="33"/>
      <c r="D170" s="33"/>
      <c r="E170" s="33"/>
      <c r="F170" s="33"/>
      <c r="G170" s="33"/>
      <c r="H170" s="33"/>
      <c r="I170" s="33"/>
    </row>
    <row r="171" spans="1:9" s="54" customFormat="1" ht="11.4" customHeight="1" x14ac:dyDescent="0.3">
      <c r="A171" s="33"/>
      <c r="B171" s="33"/>
      <c r="C171" s="33"/>
      <c r="D171" s="33"/>
      <c r="E171" s="33"/>
      <c r="F171" s="33"/>
      <c r="G171" s="33"/>
      <c r="H171" s="33"/>
      <c r="I171" s="33"/>
    </row>
    <row r="172" spans="1:9" s="54" customFormat="1" ht="11.4" customHeight="1" x14ac:dyDescent="0.3">
      <c r="A172" s="33"/>
      <c r="B172" s="33"/>
      <c r="C172" s="33"/>
      <c r="D172" s="33"/>
      <c r="E172" s="33"/>
      <c r="F172" s="33"/>
      <c r="G172" s="33"/>
      <c r="H172" s="33"/>
      <c r="I172" s="33"/>
    </row>
    <row r="173" spans="1:9" s="54" customFormat="1" ht="11.4" customHeight="1" x14ac:dyDescent="0.3">
      <c r="A173" s="33"/>
      <c r="B173" s="33"/>
      <c r="C173" s="33"/>
      <c r="D173" s="33"/>
      <c r="E173" s="33"/>
      <c r="F173" s="33"/>
      <c r="G173" s="33"/>
      <c r="H173" s="33"/>
      <c r="I173" s="33"/>
    </row>
    <row r="174" spans="1:9" s="54" customFormat="1" ht="11.4" customHeight="1" x14ac:dyDescent="0.3">
      <c r="A174" s="33"/>
      <c r="B174" s="33"/>
      <c r="C174" s="33"/>
      <c r="D174" s="33"/>
      <c r="E174" s="33"/>
      <c r="F174" s="33"/>
      <c r="G174" s="33"/>
      <c r="H174" s="33"/>
      <c r="I174" s="33"/>
    </row>
    <row r="175" spans="1:9" s="54" customFormat="1" ht="11.4" customHeight="1" x14ac:dyDescent="0.3">
      <c r="A175" s="33"/>
      <c r="B175" s="33"/>
      <c r="C175" s="33"/>
      <c r="D175" s="33"/>
      <c r="E175" s="33"/>
      <c r="F175" s="33"/>
      <c r="G175" s="33"/>
      <c r="H175" s="33"/>
      <c r="I175" s="33"/>
    </row>
    <row r="176" spans="1:9" s="54" customFormat="1" ht="11.4" customHeight="1" x14ac:dyDescent="0.3">
      <c r="A176" s="33"/>
      <c r="B176" s="33"/>
      <c r="C176" s="33"/>
      <c r="D176" s="33"/>
      <c r="E176" s="33"/>
      <c r="F176" s="33"/>
      <c r="G176" s="33"/>
      <c r="H176" s="33"/>
      <c r="I176" s="33"/>
    </row>
    <row r="177" spans="1:9" s="54" customFormat="1" ht="11.4" customHeight="1" x14ac:dyDescent="0.3">
      <c r="A177" s="33"/>
      <c r="B177" s="33"/>
      <c r="C177" s="33"/>
      <c r="D177" s="33"/>
      <c r="E177" s="33"/>
      <c r="F177" s="33"/>
      <c r="G177" s="33"/>
      <c r="H177" s="33"/>
      <c r="I177" s="33"/>
    </row>
    <row r="178" spans="1:9" s="54" customFormat="1" ht="11.4" customHeight="1" x14ac:dyDescent="0.3">
      <c r="A178" s="33"/>
      <c r="B178" s="33"/>
      <c r="C178" s="33"/>
      <c r="D178" s="33"/>
      <c r="E178" s="33"/>
      <c r="F178" s="33"/>
      <c r="G178" s="33"/>
      <c r="H178" s="33"/>
      <c r="I178" s="33"/>
    </row>
    <row r="179" spans="1:9" s="54" customFormat="1" ht="11.4" customHeight="1" x14ac:dyDescent="0.3">
      <c r="A179" s="33"/>
      <c r="B179" s="33"/>
      <c r="C179" s="33"/>
      <c r="D179" s="33"/>
      <c r="E179" s="33"/>
      <c r="F179" s="33"/>
      <c r="G179" s="33"/>
      <c r="H179" s="33"/>
      <c r="I179" s="33"/>
    </row>
    <row r="180" spans="1:9" s="54" customFormat="1" ht="11.4" customHeight="1" x14ac:dyDescent="0.3">
      <c r="A180" s="33"/>
      <c r="B180" s="33"/>
      <c r="C180" s="33"/>
      <c r="D180" s="33"/>
      <c r="E180" s="33"/>
      <c r="F180" s="33"/>
      <c r="G180" s="33"/>
      <c r="H180" s="33"/>
      <c r="I180" s="33"/>
    </row>
    <row r="181" spans="1:9" s="54" customFormat="1" ht="11.4" customHeight="1" x14ac:dyDescent="0.3">
      <c r="A181" s="33"/>
      <c r="B181" s="33"/>
      <c r="C181" s="33"/>
      <c r="D181" s="33"/>
      <c r="E181" s="33"/>
      <c r="F181" s="33"/>
      <c r="G181" s="33"/>
      <c r="H181" s="33"/>
      <c r="I181" s="33"/>
    </row>
    <row r="182" spans="1:9" s="54" customFormat="1" ht="11.4" customHeight="1" x14ac:dyDescent="0.3">
      <c r="A182" s="33"/>
      <c r="B182" s="33"/>
      <c r="C182" s="33"/>
      <c r="D182" s="33"/>
      <c r="E182" s="33"/>
      <c r="F182" s="33"/>
      <c r="G182" s="33"/>
      <c r="H182" s="33"/>
      <c r="I182" s="33"/>
    </row>
    <row r="183" spans="1:9" s="54" customFormat="1" ht="11.4" customHeight="1" x14ac:dyDescent="0.3">
      <c r="A183" s="33"/>
      <c r="B183" s="33"/>
      <c r="C183" s="33"/>
      <c r="D183" s="33"/>
      <c r="E183" s="33"/>
      <c r="F183" s="33"/>
      <c r="G183" s="33"/>
      <c r="H183" s="33"/>
      <c r="I183" s="33"/>
    </row>
    <row r="184" spans="1:9" s="54" customFormat="1" ht="11.4" customHeight="1" x14ac:dyDescent="0.3">
      <c r="A184" s="33"/>
      <c r="B184" s="33"/>
      <c r="C184" s="33"/>
      <c r="D184" s="33"/>
      <c r="E184" s="33"/>
      <c r="F184" s="33"/>
      <c r="G184" s="33"/>
      <c r="H184" s="33"/>
      <c r="I184" s="33"/>
    </row>
    <row r="185" spans="1:9" s="54" customFormat="1" ht="11.4" customHeight="1" x14ac:dyDescent="0.3">
      <c r="A185" s="33"/>
      <c r="B185" s="33"/>
      <c r="C185" s="33"/>
      <c r="D185" s="33"/>
      <c r="E185" s="33"/>
      <c r="F185" s="33"/>
      <c r="G185" s="33"/>
      <c r="H185" s="33"/>
      <c r="I185" s="33"/>
    </row>
    <row r="186" spans="1:9" s="54" customFormat="1" ht="11.4" customHeight="1" x14ac:dyDescent="0.3">
      <c r="A186" s="33"/>
      <c r="B186" s="33"/>
      <c r="C186" s="33"/>
      <c r="D186" s="33"/>
      <c r="E186" s="33"/>
      <c r="F186" s="33"/>
      <c r="G186" s="33"/>
      <c r="H186" s="33"/>
      <c r="I186" s="33"/>
    </row>
    <row r="187" spans="1:9" s="54" customFormat="1" ht="11.4" customHeight="1" x14ac:dyDescent="0.3">
      <c r="A187" s="33"/>
      <c r="B187" s="33"/>
      <c r="C187" s="33"/>
      <c r="D187" s="33"/>
      <c r="E187" s="33"/>
      <c r="F187" s="33"/>
      <c r="G187" s="33"/>
      <c r="H187" s="33"/>
      <c r="I187" s="33"/>
    </row>
    <row r="188" spans="1:9" s="54" customFormat="1" ht="11.4" customHeight="1" x14ac:dyDescent="0.3">
      <c r="A188" s="33"/>
      <c r="B188" s="33"/>
      <c r="C188" s="33"/>
      <c r="D188" s="33"/>
      <c r="E188" s="33"/>
      <c r="F188" s="33"/>
      <c r="G188" s="33"/>
      <c r="H188" s="33"/>
      <c r="I188" s="33"/>
    </row>
    <row r="189" spans="1:9" s="54" customFormat="1" ht="11.4" customHeight="1" x14ac:dyDescent="0.3">
      <c r="A189" s="33"/>
      <c r="B189" s="33"/>
      <c r="C189" s="33"/>
      <c r="D189" s="33"/>
      <c r="E189" s="33"/>
      <c r="F189" s="33"/>
      <c r="G189" s="33"/>
      <c r="H189" s="33"/>
      <c r="I189" s="33"/>
    </row>
    <row r="190" spans="1:9" s="54" customFormat="1" ht="11.4" customHeight="1" x14ac:dyDescent="0.3">
      <c r="A190" s="33"/>
      <c r="B190" s="33"/>
      <c r="C190" s="33"/>
      <c r="D190" s="33"/>
      <c r="E190" s="33"/>
      <c r="F190" s="33"/>
      <c r="G190" s="33"/>
      <c r="H190" s="33"/>
      <c r="I190" s="33"/>
    </row>
    <row r="191" spans="1:9" s="54" customFormat="1" ht="11.4" customHeight="1" x14ac:dyDescent="0.3">
      <c r="A191" s="33"/>
      <c r="B191" s="33"/>
      <c r="C191" s="33"/>
      <c r="D191" s="33"/>
      <c r="E191" s="33"/>
      <c r="F191" s="33"/>
      <c r="G191" s="33"/>
      <c r="H191" s="33"/>
      <c r="I191" s="33"/>
    </row>
    <row r="192" spans="1:9" s="54" customFormat="1" ht="11.4" customHeight="1" x14ac:dyDescent="0.3">
      <c r="A192" s="33"/>
      <c r="B192" s="33"/>
      <c r="C192" s="33"/>
      <c r="D192" s="33"/>
      <c r="E192" s="33"/>
      <c r="F192" s="33"/>
      <c r="G192" s="33"/>
      <c r="H192" s="33"/>
      <c r="I192" s="33"/>
    </row>
    <row r="193" spans="1:9" s="54" customFormat="1" ht="11.4" customHeight="1" x14ac:dyDescent="0.3">
      <c r="A193" s="33"/>
      <c r="B193" s="33"/>
      <c r="C193" s="33"/>
      <c r="D193" s="33"/>
      <c r="E193" s="33"/>
      <c r="F193" s="33"/>
      <c r="G193" s="33"/>
      <c r="H193" s="33"/>
      <c r="I193" s="33"/>
    </row>
    <row r="194" spans="1:9" s="54" customFormat="1" ht="11.4" customHeight="1" x14ac:dyDescent="0.3">
      <c r="A194" s="33"/>
      <c r="B194" s="33"/>
      <c r="C194" s="33"/>
      <c r="D194" s="33"/>
      <c r="E194" s="33"/>
      <c r="F194" s="33"/>
      <c r="G194" s="33"/>
      <c r="H194" s="33"/>
      <c r="I194" s="33"/>
    </row>
    <row r="195" spans="1:9" s="54" customFormat="1" ht="11.4" customHeight="1" x14ac:dyDescent="0.3">
      <c r="A195" s="33"/>
      <c r="B195" s="33"/>
      <c r="C195" s="33"/>
      <c r="D195" s="33"/>
      <c r="E195" s="33"/>
      <c r="F195" s="33"/>
      <c r="G195" s="33"/>
      <c r="H195" s="33"/>
      <c r="I195" s="33"/>
    </row>
    <row r="196" spans="1:9" s="54" customFormat="1" ht="11.4" customHeight="1" x14ac:dyDescent="0.3">
      <c r="A196" s="33"/>
      <c r="B196" s="33"/>
      <c r="C196" s="33"/>
      <c r="D196" s="33"/>
      <c r="E196" s="33"/>
      <c r="F196" s="33"/>
      <c r="G196" s="33"/>
      <c r="H196" s="33"/>
      <c r="I196" s="33"/>
    </row>
    <row r="197" spans="1:9" s="54" customFormat="1" ht="11.4" customHeight="1" x14ac:dyDescent="0.3">
      <c r="A197" s="33"/>
      <c r="B197" s="33"/>
      <c r="C197" s="33"/>
      <c r="D197" s="33"/>
      <c r="E197" s="33"/>
      <c r="F197" s="33"/>
      <c r="G197" s="33"/>
      <c r="H197" s="33"/>
      <c r="I197" s="33"/>
    </row>
    <row r="198" spans="1:9" s="54" customFormat="1" ht="11.4" customHeight="1" x14ac:dyDescent="0.3">
      <c r="A198" s="33"/>
      <c r="B198" s="33"/>
      <c r="C198" s="33"/>
      <c r="D198" s="33"/>
      <c r="E198" s="33"/>
      <c r="F198" s="33"/>
      <c r="G198" s="33"/>
      <c r="H198" s="33"/>
      <c r="I198" s="33"/>
    </row>
    <row r="199" spans="1:9" s="54" customFormat="1" ht="11.4" customHeight="1" x14ac:dyDescent="0.3">
      <c r="A199" s="33"/>
      <c r="B199" s="33"/>
      <c r="C199" s="33"/>
      <c r="D199" s="33"/>
      <c r="E199" s="33"/>
      <c r="F199" s="33"/>
      <c r="G199" s="33"/>
      <c r="H199" s="33"/>
      <c r="I199" s="33"/>
    </row>
    <row r="200" spans="1:9" s="54" customFormat="1" ht="11.4" customHeight="1" x14ac:dyDescent="0.3">
      <c r="A200" s="33"/>
      <c r="B200" s="33"/>
      <c r="C200" s="33"/>
      <c r="D200" s="33"/>
      <c r="E200" s="33"/>
      <c r="F200" s="33"/>
      <c r="G200" s="33"/>
      <c r="H200" s="33"/>
      <c r="I200" s="33"/>
    </row>
    <row r="201" spans="1:9" s="54" customFormat="1" ht="11.4" customHeight="1" x14ac:dyDescent="0.3">
      <c r="A201" s="33"/>
      <c r="B201" s="33"/>
      <c r="C201" s="33"/>
      <c r="D201" s="33"/>
      <c r="E201" s="33"/>
      <c r="F201" s="33"/>
      <c r="G201" s="33"/>
      <c r="H201" s="33"/>
      <c r="I201" s="33"/>
    </row>
    <row r="202" spans="1:9" s="54" customFormat="1" ht="11.4" customHeight="1" x14ac:dyDescent="0.3">
      <c r="A202" s="33"/>
      <c r="B202" s="33"/>
      <c r="C202" s="33"/>
      <c r="D202" s="33"/>
      <c r="E202" s="33"/>
      <c r="F202" s="33"/>
      <c r="G202" s="33"/>
      <c r="H202" s="33"/>
      <c r="I202" s="33"/>
    </row>
    <row r="203" spans="1:9" s="54" customFormat="1" ht="11.4" customHeight="1" x14ac:dyDescent="0.3">
      <c r="A203" s="33"/>
      <c r="B203" s="33"/>
      <c r="C203" s="33"/>
      <c r="D203" s="33"/>
      <c r="E203" s="33"/>
      <c r="F203" s="33"/>
      <c r="G203" s="33"/>
      <c r="H203" s="33"/>
      <c r="I203" s="33"/>
    </row>
    <row r="204" spans="1:9" s="54" customFormat="1" ht="11.4" customHeight="1" x14ac:dyDescent="0.3">
      <c r="A204" s="33"/>
      <c r="B204" s="33"/>
      <c r="C204" s="33"/>
      <c r="D204" s="33"/>
      <c r="E204" s="33"/>
      <c r="F204" s="33"/>
      <c r="G204" s="33"/>
      <c r="H204" s="33"/>
      <c r="I204" s="33"/>
    </row>
    <row r="205" spans="1:9" s="54" customFormat="1" ht="11.4" customHeight="1" x14ac:dyDescent="0.3">
      <c r="A205" s="33"/>
      <c r="B205" s="33"/>
      <c r="C205" s="33"/>
      <c r="D205" s="33"/>
      <c r="E205" s="33"/>
      <c r="F205" s="33"/>
      <c r="G205" s="33"/>
      <c r="H205" s="33"/>
      <c r="I205" s="33"/>
    </row>
    <row r="206" spans="1:9" s="54" customFormat="1" ht="11.4" customHeight="1" x14ac:dyDescent="0.3">
      <c r="A206" s="33"/>
      <c r="B206" s="33"/>
      <c r="C206" s="33"/>
      <c r="D206" s="33"/>
      <c r="E206" s="33"/>
      <c r="F206" s="33"/>
      <c r="G206" s="33"/>
      <c r="H206" s="33"/>
      <c r="I206" s="33"/>
    </row>
    <row r="207" spans="1:9" s="54" customFormat="1" ht="11.4" customHeight="1" x14ac:dyDescent="0.3">
      <c r="A207" s="33"/>
      <c r="B207" s="33"/>
      <c r="C207" s="33"/>
      <c r="D207" s="33"/>
      <c r="E207" s="33"/>
      <c r="F207" s="33"/>
      <c r="G207" s="33"/>
      <c r="H207" s="33"/>
      <c r="I207" s="33"/>
    </row>
    <row r="208" spans="1:9" s="54" customFormat="1" ht="11.4" customHeight="1" x14ac:dyDescent="0.3">
      <c r="A208" s="33"/>
      <c r="B208" s="33"/>
      <c r="C208" s="33"/>
      <c r="D208" s="33"/>
      <c r="E208" s="33"/>
      <c r="F208" s="33"/>
      <c r="G208" s="33"/>
      <c r="H208" s="33"/>
      <c r="I208" s="33"/>
    </row>
    <row r="209" spans="1:9" s="54" customFormat="1" ht="11.4" customHeight="1" x14ac:dyDescent="0.3">
      <c r="A209" s="33"/>
      <c r="B209" s="33"/>
      <c r="C209" s="33"/>
      <c r="D209" s="33"/>
      <c r="E209" s="33"/>
      <c r="F209" s="33"/>
      <c r="G209" s="33"/>
      <c r="H209" s="33"/>
      <c r="I209" s="33"/>
    </row>
    <row r="210" spans="1:9" s="54" customFormat="1" ht="11.4" customHeight="1" x14ac:dyDescent="0.3">
      <c r="A210" s="33"/>
      <c r="B210" s="33"/>
      <c r="C210" s="33"/>
      <c r="D210" s="33"/>
      <c r="E210" s="33"/>
      <c r="F210" s="33"/>
      <c r="G210" s="33"/>
      <c r="H210" s="33"/>
      <c r="I210" s="33"/>
    </row>
    <row r="211" spans="1:9" s="54" customFormat="1" ht="11.4" customHeight="1" x14ac:dyDescent="0.3">
      <c r="A211" s="33"/>
      <c r="B211" s="33"/>
      <c r="C211" s="33"/>
      <c r="D211" s="33"/>
      <c r="E211" s="33"/>
      <c r="F211" s="33"/>
      <c r="G211" s="33"/>
      <c r="H211" s="33"/>
      <c r="I211" s="33"/>
    </row>
    <row r="212" spans="1:9" s="54" customFormat="1" ht="11.4" customHeight="1" x14ac:dyDescent="0.3">
      <c r="A212" s="33"/>
      <c r="B212" s="33"/>
      <c r="C212" s="33"/>
      <c r="D212" s="33"/>
      <c r="E212" s="33"/>
      <c r="F212" s="33"/>
      <c r="G212" s="33"/>
      <c r="H212" s="33"/>
      <c r="I212" s="33"/>
    </row>
    <row r="213" spans="1:9" s="54" customFormat="1" ht="11.4" customHeight="1" x14ac:dyDescent="0.3">
      <c r="A213" s="33"/>
      <c r="B213" s="33"/>
      <c r="C213" s="33"/>
      <c r="D213" s="33"/>
      <c r="E213" s="33"/>
      <c r="F213" s="33"/>
      <c r="G213" s="33"/>
      <c r="H213" s="33"/>
      <c r="I213" s="33"/>
    </row>
    <row r="214" spans="1:9" s="54" customFormat="1" ht="11.4" customHeight="1" x14ac:dyDescent="0.3">
      <c r="A214" s="33"/>
      <c r="B214" s="33"/>
      <c r="C214" s="33"/>
      <c r="D214" s="33"/>
      <c r="E214" s="33"/>
      <c r="F214" s="33"/>
      <c r="G214" s="33"/>
      <c r="H214" s="33"/>
      <c r="I214" s="33"/>
    </row>
    <row r="215" spans="1:9" s="54" customFormat="1" ht="11.4" customHeight="1" x14ac:dyDescent="0.3">
      <c r="A215" s="33"/>
      <c r="B215" s="33"/>
      <c r="C215" s="33"/>
      <c r="D215" s="33"/>
      <c r="E215" s="33"/>
      <c r="F215" s="33"/>
      <c r="G215" s="33"/>
      <c r="H215" s="33"/>
      <c r="I215" s="33"/>
    </row>
    <row r="216" spans="1:9" s="54" customFormat="1" ht="11.4" customHeight="1" x14ac:dyDescent="0.3">
      <c r="A216" s="33"/>
      <c r="B216" s="33"/>
      <c r="C216" s="33"/>
      <c r="D216" s="33"/>
      <c r="E216" s="33"/>
      <c r="F216" s="33"/>
      <c r="G216" s="33"/>
      <c r="H216" s="33"/>
      <c r="I216" s="33"/>
    </row>
    <row r="217" spans="1:9" s="54" customFormat="1" ht="11.4" customHeight="1" x14ac:dyDescent="0.3">
      <c r="A217" s="33"/>
      <c r="B217" s="33"/>
      <c r="C217" s="33"/>
      <c r="D217" s="33"/>
      <c r="E217" s="33"/>
      <c r="F217" s="33"/>
      <c r="G217" s="33"/>
      <c r="H217" s="33"/>
      <c r="I217" s="33"/>
    </row>
    <row r="218" spans="1:9" s="54" customFormat="1" ht="11.4" customHeight="1" x14ac:dyDescent="0.3">
      <c r="A218" s="33"/>
      <c r="B218" s="33"/>
      <c r="C218" s="33"/>
      <c r="D218" s="33"/>
      <c r="E218" s="33"/>
      <c r="F218" s="33"/>
      <c r="G218" s="33"/>
      <c r="H218" s="33"/>
      <c r="I218" s="33"/>
    </row>
    <row r="219" spans="1:9" s="54" customFormat="1" ht="11.4" customHeight="1" x14ac:dyDescent="0.3">
      <c r="A219" s="33"/>
      <c r="B219" s="33"/>
      <c r="C219" s="33"/>
      <c r="D219" s="33"/>
      <c r="E219" s="33"/>
      <c r="F219" s="33"/>
      <c r="G219" s="33"/>
      <c r="H219" s="33"/>
      <c r="I219" s="33"/>
    </row>
    <row r="220" spans="1:9" s="54" customFormat="1" ht="11.4" customHeight="1" x14ac:dyDescent="0.3">
      <c r="A220" s="33"/>
      <c r="B220" s="33"/>
      <c r="C220" s="33"/>
      <c r="D220" s="33"/>
      <c r="E220" s="33"/>
      <c r="F220" s="33"/>
      <c r="G220" s="33"/>
      <c r="H220" s="33"/>
      <c r="I220" s="33"/>
    </row>
    <row r="221" spans="1:9" s="54" customFormat="1" ht="11.4" customHeight="1" x14ac:dyDescent="0.3">
      <c r="A221" s="33"/>
      <c r="B221" s="33"/>
      <c r="C221" s="33"/>
      <c r="D221" s="33"/>
      <c r="E221" s="33"/>
      <c r="F221" s="33"/>
      <c r="G221" s="33"/>
      <c r="H221" s="33"/>
      <c r="I221" s="33"/>
    </row>
    <row r="222" spans="1:9" s="54" customFormat="1" ht="11.4" customHeight="1" x14ac:dyDescent="0.3">
      <c r="A222" s="33"/>
      <c r="B222" s="33"/>
      <c r="C222" s="33"/>
      <c r="D222" s="33"/>
      <c r="E222" s="33"/>
      <c r="F222" s="33"/>
      <c r="G222" s="33"/>
      <c r="H222" s="33"/>
      <c r="I222" s="33"/>
    </row>
    <row r="223" spans="1:9" s="54" customFormat="1" ht="11.4" customHeight="1" x14ac:dyDescent="0.3">
      <c r="A223" s="33"/>
      <c r="B223" s="33"/>
      <c r="C223" s="33"/>
      <c r="D223" s="33"/>
      <c r="E223" s="33"/>
      <c r="F223" s="33"/>
      <c r="G223" s="33"/>
      <c r="H223" s="33"/>
      <c r="I223" s="33"/>
    </row>
    <row r="224" spans="1:9" s="54" customFormat="1" ht="11.4" customHeight="1" x14ac:dyDescent="0.3">
      <c r="A224" s="33"/>
      <c r="B224" s="33"/>
      <c r="C224" s="33"/>
      <c r="D224" s="33"/>
      <c r="E224" s="33"/>
      <c r="F224" s="33"/>
      <c r="G224" s="33"/>
      <c r="H224" s="33"/>
      <c r="I224" s="33"/>
    </row>
    <row r="225" spans="1:9" s="54" customFormat="1" ht="11.4" customHeight="1" x14ac:dyDescent="0.3">
      <c r="A225" s="33"/>
      <c r="B225" s="33"/>
      <c r="C225" s="33"/>
      <c r="D225" s="33"/>
      <c r="E225" s="33"/>
      <c r="F225" s="33"/>
      <c r="G225" s="33"/>
      <c r="H225" s="33"/>
      <c r="I225" s="33"/>
    </row>
    <row r="226" spans="1:9" s="54" customFormat="1" ht="11.4" customHeight="1" x14ac:dyDescent="0.3">
      <c r="A226" s="33"/>
      <c r="B226" s="33"/>
      <c r="C226" s="33"/>
      <c r="D226" s="33"/>
      <c r="E226" s="33"/>
      <c r="F226" s="33"/>
      <c r="G226" s="33"/>
      <c r="H226" s="33"/>
      <c r="I226" s="33"/>
    </row>
    <row r="227" spans="1:9" s="54" customFormat="1" ht="11.4" customHeight="1" x14ac:dyDescent="0.3">
      <c r="A227" s="33"/>
      <c r="B227" s="33"/>
      <c r="C227" s="33"/>
      <c r="D227" s="33"/>
      <c r="E227" s="33"/>
      <c r="F227" s="33"/>
      <c r="G227" s="33"/>
      <c r="H227" s="33"/>
      <c r="I227" s="33"/>
    </row>
    <row r="228" spans="1:9" s="54" customFormat="1" ht="11.4" customHeight="1" x14ac:dyDescent="0.3">
      <c r="A228" s="33"/>
      <c r="B228" s="33"/>
      <c r="C228" s="33"/>
      <c r="D228" s="33"/>
      <c r="E228" s="33"/>
      <c r="F228" s="33"/>
      <c r="G228" s="33"/>
      <c r="H228" s="33"/>
      <c r="I228" s="33"/>
    </row>
    <row r="229" spans="1:9" s="54" customFormat="1" ht="11.4" customHeight="1" x14ac:dyDescent="0.3">
      <c r="A229" s="33"/>
      <c r="B229" s="33"/>
      <c r="C229" s="33"/>
      <c r="D229" s="33"/>
      <c r="E229" s="33"/>
      <c r="F229" s="33"/>
      <c r="G229" s="33"/>
      <c r="H229" s="33"/>
      <c r="I229" s="33"/>
    </row>
    <row r="230" spans="1:9" s="54" customFormat="1" ht="11.4" customHeight="1" x14ac:dyDescent="0.3">
      <c r="A230" s="33"/>
      <c r="B230" s="33"/>
      <c r="C230" s="33"/>
      <c r="D230" s="33"/>
      <c r="E230" s="33"/>
      <c r="F230" s="33"/>
      <c r="G230" s="33"/>
      <c r="H230" s="33"/>
      <c r="I230" s="33"/>
    </row>
    <row r="231" spans="1:9" s="54" customFormat="1" ht="11.4" customHeight="1" x14ac:dyDescent="0.3">
      <c r="A231" s="33"/>
      <c r="B231" s="33"/>
      <c r="C231" s="33"/>
      <c r="D231" s="33"/>
      <c r="E231" s="33"/>
      <c r="F231" s="33"/>
      <c r="G231" s="33"/>
      <c r="H231" s="33"/>
      <c r="I231" s="33"/>
    </row>
    <row r="232" spans="1:9" s="54" customFormat="1" ht="11.4" customHeight="1" x14ac:dyDescent="0.3">
      <c r="A232" s="33"/>
      <c r="B232" s="33"/>
      <c r="C232" s="33"/>
      <c r="D232" s="33"/>
      <c r="E232" s="33"/>
      <c r="F232" s="33"/>
      <c r="G232" s="33"/>
      <c r="H232" s="33"/>
      <c r="I232" s="33"/>
    </row>
    <row r="233" spans="1:9" s="54" customFormat="1" ht="11.4" customHeight="1" x14ac:dyDescent="0.3">
      <c r="A233" s="33"/>
      <c r="B233" s="33"/>
      <c r="C233" s="33"/>
      <c r="D233" s="33"/>
      <c r="E233" s="33"/>
      <c r="F233" s="33"/>
      <c r="G233" s="33"/>
      <c r="H233" s="33"/>
      <c r="I233" s="33"/>
    </row>
    <row r="234" spans="1:9" s="54" customFormat="1" ht="11.4" customHeight="1" x14ac:dyDescent="0.3">
      <c r="A234" s="33"/>
      <c r="B234" s="33"/>
      <c r="C234" s="33"/>
      <c r="D234" s="33"/>
      <c r="E234" s="33"/>
      <c r="F234" s="33"/>
      <c r="G234" s="33"/>
      <c r="H234" s="33"/>
      <c r="I234" s="33"/>
    </row>
    <row r="235" spans="1:9" s="54" customFormat="1" ht="11.4" customHeight="1" x14ac:dyDescent="0.3">
      <c r="A235" s="33"/>
      <c r="B235" s="33"/>
      <c r="C235" s="33"/>
      <c r="D235" s="33"/>
      <c r="E235" s="33"/>
      <c r="F235" s="33"/>
      <c r="G235" s="33"/>
      <c r="H235" s="33"/>
      <c r="I235" s="33"/>
    </row>
    <row r="236" spans="1:9" s="54" customFormat="1" ht="11.4" customHeight="1" x14ac:dyDescent="0.3">
      <c r="A236" s="33"/>
      <c r="B236" s="33"/>
      <c r="C236" s="33"/>
      <c r="D236" s="33"/>
      <c r="E236" s="33"/>
      <c r="F236" s="33"/>
      <c r="G236" s="33"/>
      <c r="H236" s="33"/>
      <c r="I236" s="33"/>
    </row>
    <row r="237" spans="1:9" s="54" customFormat="1" ht="11.4" customHeight="1" x14ac:dyDescent="0.3">
      <c r="A237" s="33"/>
      <c r="B237" s="33"/>
      <c r="C237" s="33"/>
      <c r="D237" s="33"/>
      <c r="E237" s="33"/>
      <c r="F237" s="33"/>
      <c r="G237" s="33"/>
      <c r="H237" s="33"/>
      <c r="I237" s="33"/>
    </row>
    <row r="238" spans="1:9" s="54" customFormat="1" ht="11.4" customHeight="1" x14ac:dyDescent="0.3">
      <c r="A238" s="33"/>
      <c r="B238" s="33"/>
      <c r="C238" s="33"/>
      <c r="D238" s="33"/>
      <c r="E238" s="33"/>
      <c r="F238" s="33"/>
      <c r="G238" s="33"/>
      <c r="H238" s="33"/>
      <c r="I238" s="33"/>
    </row>
    <row r="239" spans="1:9" s="54" customFormat="1" ht="11.4" customHeight="1" x14ac:dyDescent="0.3">
      <c r="A239" s="33"/>
      <c r="B239" s="33"/>
      <c r="C239" s="33"/>
      <c r="D239" s="33"/>
      <c r="E239" s="33"/>
      <c r="F239" s="33"/>
      <c r="G239" s="33"/>
      <c r="H239" s="33"/>
      <c r="I239" s="33"/>
    </row>
    <row r="240" spans="1:9" s="54" customFormat="1" ht="11.4" customHeight="1" x14ac:dyDescent="0.3">
      <c r="A240" s="33"/>
      <c r="B240" s="33"/>
      <c r="C240" s="33"/>
      <c r="D240" s="33"/>
      <c r="E240" s="33"/>
      <c r="F240" s="33"/>
      <c r="G240" s="33"/>
      <c r="H240" s="33"/>
      <c r="I240" s="33"/>
    </row>
    <row r="241" spans="1:9" s="54" customFormat="1" ht="11.4" customHeight="1" x14ac:dyDescent="0.3">
      <c r="A241" s="33"/>
      <c r="B241" s="33"/>
      <c r="C241" s="33"/>
      <c r="D241" s="33"/>
      <c r="E241" s="33"/>
      <c r="F241" s="33"/>
      <c r="G241" s="33"/>
      <c r="H241" s="33"/>
      <c r="I241" s="33"/>
    </row>
    <row r="242" spans="1:9" s="54" customFormat="1" ht="11.4" customHeight="1" x14ac:dyDescent="0.3">
      <c r="A242" s="33"/>
      <c r="B242" s="33"/>
      <c r="C242" s="33"/>
      <c r="D242" s="33"/>
      <c r="E242" s="33"/>
      <c r="F242" s="33"/>
      <c r="G242" s="33"/>
      <c r="H242" s="33"/>
      <c r="I242" s="33"/>
    </row>
    <row r="243" spans="1:9" s="54" customFormat="1" ht="11.4" customHeight="1" x14ac:dyDescent="0.3">
      <c r="A243" s="33"/>
      <c r="B243" s="33"/>
      <c r="C243" s="33"/>
      <c r="D243" s="33"/>
      <c r="E243" s="33"/>
      <c r="F243" s="33"/>
      <c r="G243" s="33"/>
      <c r="H243" s="33"/>
      <c r="I243" s="33"/>
    </row>
    <row r="244" spans="1:9" s="54" customFormat="1" ht="11.4" customHeight="1" x14ac:dyDescent="0.3">
      <c r="A244" s="33"/>
      <c r="B244" s="33"/>
      <c r="C244" s="33"/>
      <c r="D244" s="33"/>
      <c r="E244" s="33"/>
      <c r="F244" s="33"/>
      <c r="G244" s="33"/>
      <c r="H244" s="33"/>
      <c r="I244" s="33"/>
    </row>
    <row r="245" spans="1:9" s="54" customFormat="1" ht="11.4" customHeight="1" x14ac:dyDescent="0.3">
      <c r="A245" s="33"/>
      <c r="B245" s="33"/>
      <c r="C245" s="33"/>
      <c r="D245" s="33"/>
      <c r="E245" s="33"/>
      <c r="F245" s="33"/>
      <c r="G245" s="33"/>
      <c r="H245" s="33"/>
      <c r="I245" s="33"/>
    </row>
    <row r="246" spans="1:9" s="54" customFormat="1" ht="11.4" customHeight="1" x14ac:dyDescent="0.3">
      <c r="A246" s="33"/>
      <c r="B246" s="33"/>
      <c r="C246" s="33"/>
      <c r="D246" s="33"/>
      <c r="E246" s="33"/>
      <c r="F246" s="33"/>
      <c r="G246" s="33"/>
      <c r="H246" s="33"/>
      <c r="I246" s="33"/>
    </row>
    <row r="247" spans="1:9" s="54" customFormat="1" ht="11.4" customHeight="1" x14ac:dyDescent="0.3">
      <c r="A247" s="33"/>
      <c r="B247" s="33"/>
      <c r="C247" s="33"/>
      <c r="D247" s="33"/>
      <c r="E247" s="33"/>
      <c r="F247" s="33"/>
      <c r="G247" s="33"/>
      <c r="H247" s="33"/>
      <c r="I247" s="33"/>
    </row>
    <row r="248" spans="1:9" s="54" customFormat="1" ht="11.4" customHeight="1" x14ac:dyDescent="0.3">
      <c r="A248" s="33"/>
      <c r="B248" s="33"/>
      <c r="C248" s="33"/>
      <c r="D248" s="33"/>
      <c r="E248" s="33"/>
      <c r="F248" s="33"/>
      <c r="G248" s="33"/>
      <c r="H248" s="33"/>
      <c r="I248" s="33"/>
    </row>
    <row r="249" spans="1:9" s="54" customFormat="1" ht="11.4" customHeight="1" x14ac:dyDescent="0.3">
      <c r="A249" s="33"/>
      <c r="B249" s="33"/>
      <c r="C249" s="33"/>
      <c r="D249" s="33"/>
      <c r="E249" s="33"/>
      <c r="F249" s="33"/>
      <c r="G249" s="33"/>
      <c r="H249" s="33"/>
      <c r="I249" s="33"/>
    </row>
    <row r="250" spans="1:9" s="54" customFormat="1" ht="11.4" customHeight="1" x14ac:dyDescent="0.3">
      <c r="A250" s="33"/>
      <c r="B250" s="33"/>
      <c r="C250" s="33"/>
      <c r="D250" s="33"/>
      <c r="E250" s="33"/>
      <c r="F250" s="33"/>
      <c r="G250" s="33"/>
      <c r="H250" s="33"/>
      <c r="I250" s="33"/>
    </row>
    <row r="251" spans="1:9" s="54" customFormat="1" ht="11.4" customHeight="1" x14ac:dyDescent="0.3">
      <c r="A251" s="33"/>
      <c r="B251" s="33"/>
      <c r="C251" s="33"/>
      <c r="D251" s="33"/>
      <c r="E251" s="33"/>
      <c r="F251" s="33"/>
      <c r="G251" s="33"/>
      <c r="H251" s="33"/>
      <c r="I251" s="33"/>
    </row>
    <row r="252" spans="1:9" s="54" customFormat="1" ht="11.4" customHeight="1" x14ac:dyDescent="0.3">
      <c r="A252" s="33"/>
      <c r="B252" s="33"/>
      <c r="C252" s="33"/>
      <c r="D252" s="33"/>
      <c r="E252" s="33"/>
      <c r="F252" s="33"/>
      <c r="G252" s="33"/>
      <c r="H252" s="33"/>
      <c r="I252" s="33"/>
    </row>
    <row r="253" spans="1:9" s="54" customFormat="1" ht="11.4" customHeight="1" x14ac:dyDescent="0.3">
      <c r="A253" s="33"/>
      <c r="B253" s="33"/>
      <c r="C253" s="33"/>
      <c r="D253" s="33"/>
      <c r="E253" s="33"/>
      <c r="F253" s="33"/>
      <c r="G253" s="33"/>
      <c r="H253" s="33"/>
      <c r="I253" s="33"/>
    </row>
    <row r="254" spans="1:9" s="54" customFormat="1" ht="11.4" customHeight="1" x14ac:dyDescent="0.3">
      <c r="A254" s="33"/>
      <c r="B254" s="33"/>
      <c r="C254" s="33"/>
      <c r="D254" s="33"/>
      <c r="E254" s="33"/>
      <c r="F254" s="33"/>
      <c r="G254" s="33"/>
      <c r="H254" s="33"/>
      <c r="I254" s="33"/>
    </row>
    <row r="255" spans="1:9" s="54" customFormat="1" ht="11.4" customHeight="1" x14ac:dyDescent="0.3">
      <c r="A255" s="33"/>
      <c r="B255" s="33"/>
      <c r="C255" s="33"/>
      <c r="D255" s="33"/>
      <c r="E255" s="33"/>
      <c r="F255" s="33"/>
      <c r="G255" s="33"/>
      <c r="H255" s="33"/>
      <c r="I255" s="33"/>
    </row>
    <row r="256" spans="1:9" s="54" customFormat="1" ht="11.4" customHeight="1" x14ac:dyDescent="0.3">
      <c r="A256" s="33"/>
      <c r="B256" s="33"/>
      <c r="C256" s="33"/>
      <c r="D256" s="33"/>
      <c r="E256" s="33"/>
      <c r="F256" s="33"/>
      <c r="G256" s="33"/>
      <c r="H256" s="33"/>
      <c r="I256" s="33"/>
    </row>
    <row r="257" spans="1:9" s="54" customFormat="1" ht="11.4" customHeight="1" x14ac:dyDescent="0.3">
      <c r="A257" s="33"/>
      <c r="B257" s="33"/>
      <c r="C257" s="33"/>
      <c r="D257" s="33"/>
      <c r="E257" s="33"/>
      <c r="F257" s="33"/>
      <c r="G257" s="33"/>
      <c r="H257" s="33"/>
      <c r="I257" s="33"/>
    </row>
    <row r="258" spans="1:9" s="54" customFormat="1" ht="11.4" customHeight="1" x14ac:dyDescent="0.3">
      <c r="A258" s="33"/>
      <c r="B258" s="33"/>
      <c r="C258" s="33"/>
      <c r="D258" s="33"/>
      <c r="E258" s="33"/>
      <c r="F258" s="33"/>
      <c r="G258" s="33"/>
      <c r="H258" s="33"/>
      <c r="I258" s="33"/>
    </row>
    <row r="259" spans="1:9" s="54" customFormat="1" ht="11.4" customHeight="1" x14ac:dyDescent="0.3">
      <c r="A259" s="33"/>
      <c r="B259" s="33"/>
      <c r="C259" s="33"/>
      <c r="D259" s="33"/>
      <c r="E259" s="33"/>
      <c r="F259" s="33"/>
      <c r="G259" s="33"/>
      <c r="H259" s="33"/>
      <c r="I259" s="33"/>
    </row>
    <row r="260" spans="1:9" s="54" customFormat="1" ht="11.4" customHeight="1" x14ac:dyDescent="0.3">
      <c r="A260" s="33"/>
      <c r="B260" s="33"/>
      <c r="C260" s="33"/>
      <c r="D260" s="33"/>
      <c r="E260" s="33"/>
      <c r="F260" s="33"/>
      <c r="G260" s="33"/>
      <c r="H260" s="33"/>
      <c r="I260" s="33"/>
    </row>
    <row r="261" spans="1:9" s="54" customFormat="1" ht="11.4" customHeight="1" x14ac:dyDescent="0.3">
      <c r="A261" s="33"/>
      <c r="B261" s="33"/>
      <c r="C261" s="33"/>
      <c r="D261" s="33"/>
      <c r="E261" s="33"/>
      <c r="F261" s="33"/>
      <c r="G261" s="33"/>
      <c r="H261" s="33"/>
      <c r="I261" s="33"/>
    </row>
    <row r="262" spans="1:9" s="54" customFormat="1" ht="11.4" customHeight="1" x14ac:dyDescent="0.3">
      <c r="A262" s="33"/>
      <c r="B262" s="33"/>
      <c r="C262" s="33"/>
      <c r="D262" s="33"/>
      <c r="E262" s="33"/>
      <c r="F262" s="33"/>
      <c r="G262" s="33"/>
      <c r="H262" s="33"/>
      <c r="I262" s="33"/>
    </row>
    <row r="263" spans="1:9" s="54" customFormat="1" ht="11.4" customHeight="1" x14ac:dyDescent="0.3">
      <c r="A263" s="33"/>
      <c r="B263" s="33"/>
      <c r="C263" s="33"/>
      <c r="D263" s="33"/>
      <c r="E263" s="33"/>
      <c r="F263" s="33"/>
      <c r="G263" s="33"/>
      <c r="H263" s="33"/>
      <c r="I263" s="33"/>
    </row>
    <row r="264" spans="1:9" s="54" customFormat="1" ht="11.4" customHeight="1" x14ac:dyDescent="0.3">
      <c r="A264" s="33"/>
      <c r="B264" s="33"/>
      <c r="C264" s="33"/>
      <c r="D264" s="33"/>
      <c r="E264" s="33"/>
      <c r="F264" s="33"/>
      <c r="G264" s="33"/>
      <c r="H264" s="33"/>
      <c r="I264" s="33"/>
    </row>
    <row r="265" spans="1:9" s="54" customFormat="1" ht="11.4" customHeight="1" x14ac:dyDescent="0.3">
      <c r="A265" s="33"/>
      <c r="B265" s="33"/>
      <c r="C265" s="33"/>
      <c r="D265" s="33"/>
      <c r="E265" s="33"/>
      <c r="F265" s="33"/>
      <c r="G265" s="33"/>
      <c r="H265" s="33"/>
      <c r="I265" s="33"/>
    </row>
    <row r="266" spans="1:9" s="54" customFormat="1" ht="11.4" customHeight="1" x14ac:dyDescent="0.3">
      <c r="A266" s="33"/>
      <c r="B266" s="33"/>
      <c r="C266" s="33"/>
      <c r="D266" s="33"/>
      <c r="E266" s="33"/>
      <c r="F266" s="33"/>
      <c r="G266" s="33"/>
      <c r="H266" s="33"/>
      <c r="I266" s="33"/>
    </row>
    <row r="267" spans="1:9" s="54" customFormat="1" ht="11.4" customHeight="1" x14ac:dyDescent="0.3">
      <c r="A267" s="33"/>
      <c r="B267" s="33"/>
      <c r="C267" s="33"/>
      <c r="D267" s="33"/>
      <c r="E267" s="33"/>
      <c r="F267" s="33"/>
      <c r="G267" s="33"/>
      <c r="H267" s="33"/>
      <c r="I267" s="33"/>
    </row>
    <row r="268" spans="1:9" s="54" customFormat="1" ht="11.4" customHeight="1" x14ac:dyDescent="0.3">
      <c r="A268" s="33"/>
      <c r="B268" s="33"/>
      <c r="C268" s="33"/>
      <c r="D268" s="33"/>
      <c r="E268" s="33"/>
      <c r="F268" s="33"/>
      <c r="G268" s="33"/>
      <c r="H268" s="33"/>
      <c r="I268" s="33"/>
    </row>
    <row r="269" spans="1:9" s="54" customFormat="1" ht="11.4" customHeight="1" x14ac:dyDescent="0.3">
      <c r="A269" s="33"/>
      <c r="B269" s="33"/>
      <c r="C269" s="33"/>
      <c r="D269" s="33"/>
      <c r="E269" s="33"/>
      <c r="F269" s="33"/>
      <c r="G269" s="33"/>
      <c r="H269" s="33"/>
      <c r="I269" s="33"/>
    </row>
    <row r="270" spans="1:9" s="54" customFormat="1" ht="11.4" customHeight="1" x14ac:dyDescent="0.3">
      <c r="A270" s="33"/>
      <c r="B270" s="33"/>
      <c r="C270" s="33"/>
      <c r="D270" s="33"/>
      <c r="E270" s="33"/>
      <c r="F270" s="33"/>
      <c r="G270" s="33"/>
      <c r="H270" s="33"/>
      <c r="I270" s="33"/>
    </row>
    <row r="271" spans="1:9" s="54" customFormat="1" ht="11.4" customHeight="1" x14ac:dyDescent="0.3">
      <c r="A271" s="33"/>
      <c r="B271" s="33"/>
      <c r="C271" s="33"/>
      <c r="D271" s="33"/>
      <c r="E271" s="33"/>
      <c r="F271" s="33"/>
      <c r="G271" s="33"/>
      <c r="H271" s="33"/>
      <c r="I271" s="33"/>
    </row>
    <row r="272" spans="1:9" s="54" customFormat="1" ht="11.4" customHeight="1" x14ac:dyDescent="0.3">
      <c r="A272" s="33"/>
      <c r="B272" s="33"/>
      <c r="C272" s="33"/>
      <c r="D272" s="33"/>
      <c r="E272" s="33"/>
      <c r="F272" s="33"/>
      <c r="G272" s="33"/>
      <c r="H272" s="33"/>
      <c r="I272" s="33"/>
    </row>
    <row r="273" spans="1:9" s="54" customFormat="1" ht="11.4" customHeight="1" x14ac:dyDescent="0.3">
      <c r="A273" s="33"/>
      <c r="B273" s="33"/>
      <c r="C273" s="33"/>
      <c r="D273" s="33"/>
      <c r="E273" s="33"/>
      <c r="F273" s="33"/>
      <c r="G273" s="33"/>
      <c r="H273" s="33"/>
      <c r="I273" s="33"/>
    </row>
    <row r="274" spans="1:9" s="54" customFormat="1" ht="11.4" customHeight="1" x14ac:dyDescent="0.3">
      <c r="A274" s="33"/>
      <c r="B274" s="33"/>
      <c r="C274" s="33"/>
      <c r="D274" s="33"/>
      <c r="E274" s="33"/>
      <c r="F274" s="33"/>
      <c r="G274" s="33"/>
      <c r="H274" s="33"/>
      <c r="I274" s="33"/>
    </row>
    <row r="275" spans="1:9" s="54" customFormat="1" ht="11.4" customHeight="1" x14ac:dyDescent="0.3">
      <c r="A275" s="33"/>
      <c r="B275" s="33"/>
      <c r="C275" s="33"/>
      <c r="D275" s="33"/>
      <c r="E275" s="33"/>
      <c r="F275" s="33"/>
      <c r="G275" s="33"/>
      <c r="H275" s="33"/>
      <c r="I275" s="33"/>
    </row>
    <row r="276" spans="1:9" s="54" customFormat="1" ht="11.4" customHeight="1" x14ac:dyDescent="0.3">
      <c r="A276" s="33"/>
      <c r="B276" s="33"/>
      <c r="C276" s="33"/>
      <c r="D276" s="33"/>
      <c r="E276" s="33"/>
      <c r="F276" s="33"/>
      <c r="G276" s="33"/>
      <c r="H276" s="33"/>
      <c r="I276" s="33"/>
    </row>
    <row r="277" spans="1:9" s="54" customFormat="1" ht="11.4" customHeight="1" x14ac:dyDescent="0.3">
      <c r="A277" s="33"/>
      <c r="B277" s="33"/>
      <c r="C277" s="33"/>
      <c r="D277" s="33"/>
      <c r="E277" s="33"/>
      <c r="F277" s="33"/>
      <c r="G277" s="33"/>
      <c r="H277" s="33"/>
      <c r="I277" s="33"/>
    </row>
    <row r="278" spans="1:9" s="54" customFormat="1" ht="11.4" customHeight="1" x14ac:dyDescent="0.3">
      <c r="A278" s="33"/>
      <c r="B278" s="33"/>
      <c r="C278" s="33"/>
      <c r="D278" s="33"/>
      <c r="E278" s="33"/>
      <c r="F278" s="33"/>
      <c r="G278" s="33"/>
      <c r="H278" s="33"/>
      <c r="I278" s="33"/>
    </row>
    <row r="279" spans="1:9" s="54" customFormat="1" ht="11.4" customHeight="1" x14ac:dyDescent="0.3">
      <c r="A279" s="33"/>
      <c r="B279" s="33"/>
      <c r="C279" s="33"/>
      <c r="D279" s="33"/>
      <c r="E279" s="33"/>
      <c r="F279" s="33"/>
      <c r="G279" s="33"/>
      <c r="H279" s="33"/>
      <c r="I279" s="33"/>
    </row>
    <row r="280" spans="1:9" s="54" customFormat="1" ht="11.4" customHeight="1" x14ac:dyDescent="0.3">
      <c r="A280" s="33"/>
      <c r="B280" s="33"/>
      <c r="C280" s="33"/>
      <c r="D280" s="33"/>
      <c r="E280" s="33"/>
      <c r="F280" s="33"/>
      <c r="G280" s="33"/>
      <c r="H280" s="33"/>
      <c r="I280" s="33"/>
    </row>
    <row r="281" spans="1:9" s="54" customFormat="1" ht="11.4" customHeight="1" x14ac:dyDescent="0.3">
      <c r="A281" s="33"/>
      <c r="B281" s="33"/>
      <c r="C281" s="33"/>
      <c r="D281" s="33"/>
      <c r="E281" s="33"/>
      <c r="F281" s="33"/>
      <c r="G281" s="33"/>
      <c r="H281" s="33"/>
      <c r="I281" s="33"/>
    </row>
    <row r="282" spans="1:9" s="54" customFormat="1" ht="11.4" customHeight="1" x14ac:dyDescent="0.3">
      <c r="A282" s="33"/>
      <c r="B282" s="33"/>
      <c r="C282" s="33"/>
      <c r="D282" s="33"/>
      <c r="E282" s="33"/>
      <c r="F282" s="33"/>
      <c r="G282" s="33"/>
      <c r="H282" s="33"/>
      <c r="I282" s="33"/>
    </row>
    <row r="283" spans="1:9" s="54" customFormat="1" ht="11.4" customHeight="1" x14ac:dyDescent="0.3">
      <c r="A283" s="33"/>
      <c r="B283" s="33"/>
      <c r="C283" s="33"/>
      <c r="D283" s="33"/>
      <c r="E283" s="33"/>
      <c r="F283" s="33"/>
      <c r="G283" s="33"/>
      <c r="H283" s="33"/>
      <c r="I283" s="33"/>
    </row>
    <row r="284" spans="1:9" s="54" customFormat="1" ht="11.4" customHeight="1" x14ac:dyDescent="0.3">
      <c r="A284" s="33"/>
      <c r="B284" s="33"/>
      <c r="C284" s="33"/>
      <c r="D284" s="33"/>
      <c r="E284" s="33"/>
      <c r="F284" s="33"/>
      <c r="G284" s="33"/>
      <c r="H284" s="33"/>
      <c r="I284" s="33"/>
    </row>
    <row r="285" spans="1:9" s="54" customFormat="1" ht="11.4" customHeight="1" x14ac:dyDescent="0.3">
      <c r="A285" s="33"/>
      <c r="B285" s="33"/>
      <c r="C285" s="33"/>
      <c r="D285" s="33"/>
      <c r="E285" s="33"/>
      <c r="F285" s="33"/>
      <c r="G285" s="33"/>
      <c r="H285" s="33"/>
      <c r="I285" s="33"/>
    </row>
    <row r="286" spans="1:9" s="54" customFormat="1" ht="11.4" customHeight="1" x14ac:dyDescent="0.3">
      <c r="A286" s="33"/>
      <c r="B286" s="33"/>
      <c r="C286" s="33"/>
      <c r="D286" s="33"/>
      <c r="E286" s="33"/>
      <c r="F286" s="33"/>
      <c r="G286" s="33"/>
      <c r="H286" s="33"/>
      <c r="I286" s="33"/>
    </row>
    <row r="287" spans="1:9" s="54" customFormat="1" ht="11.4" customHeight="1" x14ac:dyDescent="0.3">
      <c r="A287" s="33"/>
      <c r="B287" s="33"/>
      <c r="C287" s="33"/>
      <c r="D287" s="33"/>
      <c r="E287" s="33"/>
      <c r="F287" s="33"/>
      <c r="G287" s="33"/>
      <c r="H287" s="33"/>
      <c r="I287" s="33"/>
    </row>
    <row r="288" spans="1:9" s="54" customFormat="1" ht="11.4" customHeight="1" x14ac:dyDescent="0.3">
      <c r="A288" s="33"/>
      <c r="B288" s="33"/>
      <c r="C288" s="33"/>
      <c r="D288" s="33"/>
      <c r="E288" s="33"/>
      <c r="F288" s="33"/>
      <c r="G288" s="33"/>
      <c r="H288" s="33"/>
      <c r="I288" s="33"/>
    </row>
    <row r="289" spans="1:9" s="54" customFormat="1" ht="11.4" customHeight="1" x14ac:dyDescent="0.3">
      <c r="A289" s="33"/>
      <c r="B289" s="33"/>
      <c r="C289" s="33"/>
      <c r="D289" s="33"/>
      <c r="E289" s="33"/>
      <c r="F289" s="33"/>
      <c r="G289" s="33"/>
      <c r="H289" s="33"/>
      <c r="I289" s="33"/>
    </row>
    <row r="290" spans="1:9" s="54" customFormat="1" ht="11.4" customHeight="1" x14ac:dyDescent="0.3">
      <c r="A290" s="33"/>
      <c r="B290" s="33"/>
      <c r="C290" s="33"/>
      <c r="D290" s="33"/>
      <c r="E290" s="33"/>
      <c r="F290" s="33"/>
      <c r="G290" s="33"/>
      <c r="H290" s="33"/>
      <c r="I290" s="33"/>
    </row>
    <row r="291" spans="1:9" s="54" customFormat="1" ht="11.4" customHeight="1" x14ac:dyDescent="0.3">
      <c r="A291" s="33"/>
      <c r="B291" s="33"/>
      <c r="C291" s="33"/>
      <c r="D291" s="33"/>
      <c r="E291" s="33"/>
      <c r="F291" s="33"/>
      <c r="G291" s="33"/>
      <c r="H291" s="33"/>
      <c r="I291" s="33"/>
    </row>
    <row r="292" spans="1:9" s="54" customFormat="1" ht="11.4" customHeight="1" x14ac:dyDescent="0.3">
      <c r="A292" s="33"/>
      <c r="B292" s="33"/>
      <c r="C292" s="33"/>
      <c r="D292" s="33"/>
      <c r="E292" s="33"/>
      <c r="F292" s="33"/>
      <c r="G292" s="33"/>
      <c r="H292" s="33"/>
      <c r="I292" s="33"/>
    </row>
    <row r="293" spans="1:9" s="54" customFormat="1" ht="11.4" customHeight="1" x14ac:dyDescent="0.3">
      <c r="A293" s="33"/>
      <c r="B293" s="33"/>
      <c r="C293" s="33"/>
      <c r="D293" s="33"/>
      <c r="E293" s="33"/>
      <c r="F293" s="33"/>
      <c r="G293" s="33"/>
      <c r="H293" s="33"/>
      <c r="I293" s="33"/>
    </row>
    <row r="294" spans="1:9" s="54" customFormat="1" ht="11.4" customHeight="1" x14ac:dyDescent="0.3">
      <c r="A294" s="33"/>
      <c r="B294" s="33"/>
      <c r="C294" s="33"/>
      <c r="D294" s="33"/>
      <c r="E294" s="33"/>
      <c r="F294" s="33"/>
      <c r="G294" s="33"/>
      <c r="H294" s="33"/>
      <c r="I294" s="33"/>
    </row>
    <row r="295" spans="1:9" s="54" customFormat="1" ht="11.4" customHeight="1" x14ac:dyDescent="0.3">
      <c r="A295" s="33"/>
      <c r="B295" s="33"/>
      <c r="C295" s="33"/>
      <c r="D295" s="33"/>
      <c r="E295" s="33"/>
      <c r="F295" s="33"/>
      <c r="G295" s="33"/>
      <c r="H295" s="33"/>
      <c r="I295" s="33"/>
    </row>
    <row r="296" spans="1:9" s="54" customFormat="1" ht="11.4" customHeight="1" x14ac:dyDescent="0.3">
      <c r="A296" s="33"/>
      <c r="B296" s="33"/>
      <c r="C296" s="33"/>
      <c r="D296" s="33"/>
      <c r="E296" s="33"/>
      <c r="F296" s="33"/>
      <c r="G296" s="33"/>
      <c r="H296" s="33"/>
      <c r="I296" s="33"/>
    </row>
    <row r="297" spans="1:9" s="54" customFormat="1" ht="11.4" customHeight="1" x14ac:dyDescent="0.3">
      <c r="A297" s="33"/>
      <c r="B297" s="33"/>
      <c r="C297" s="33"/>
      <c r="D297" s="33"/>
      <c r="E297" s="33"/>
      <c r="F297" s="33"/>
      <c r="G297" s="33"/>
      <c r="H297" s="33"/>
      <c r="I297" s="33"/>
    </row>
    <row r="298" spans="1:9" s="54" customFormat="1" ht="11.4" customHeight="1" x14ac:dyDescent="0.3">
      <c r="A298" s="33"/>
      <c r="B298" s="33"/>
      <c r="C298" s="33"/>
      <c r="D298" s="33"/>
      <c r="E298" s="33"/>
      <c r="F298" s="33"/>
      <c r="G298" s="33"/>
      <c r="H298" s="33"/>
      <c r="I298" s="33"/>
    </row>
    <row r="299" spans="1:9" s="54" customFormat="1" ht="11.4" customHeight="1" x14ac:dyDescent="0.3">
      <c r="A299" s="33"/>
      <c r="B299" s="33"/>
      <c r="C299" s="33"/>
      <c r="D299" s="33"/>
      <c r="E299" s="33"/>
      <c r="F299" s="33"/>
      <c r="G299" s="33"/>
      <c r="H299" s="33"/>
      <c r="I299" s="33"/>
    </row>
    <row r="300" spans="1:9" s="54" customFormat="1" ht="11.4" customHeight="1" x14ac:dyDescent="0.3">
      <c r="A300" s="33"/>
      <c r="B300" s="33"/>
      <c r="C300" s="33"/>
      <c r="D300" s="33"/>
      <c r="E300" s="33"/>
      <c r="F300" s="33"/>
      <c r="G300" s="33"/>
      <c r="H300" s="33"/>
      <c r="I300" s="33"/>
    </row>
    <row r="301" spans="1:9" s="54" customFormat="1" ht="11.4" customHeight="1" x14ac:dyDescent="0.3">
      <c r="A301" s="33"/>
      <c r="B301" s="33"/>
      <c r="C301" s="33"/>
      <c r="D301" s="33"/>
      <c r="E301" s="33"/>
      <c r="F301" s="33"/>
      <c r="G301" s="33"/>
      <c r="H301" s="33"/>
      <c r="I301" s="33"/>
    </row>
    <row r="302" spans="1:9" s="54" customFormat="1" ht="11.4" customHeight="1" x14ac:dyDescent="0.3">
      <c r="A302" s="33"/>
      <c r="B302" s="33"/>
      <c r="C302" s="33"/>
      <c r="D302" s="33"/>
      <c r="E302" s="33"/>
      <c r="F302" s="33"/>
      <c r="G302" s="33"/>
      <c r="H302" s="33"/>
      <c r="I302" s="33"/>
    </row>
    <row r="303" spans="1:9" s="54" customFormat="1" ht="11.4" customHeight="1" x14ac:dyDescent="0.3">
      <c r="A303" s="33"/>
      <c r="B303" s="33"/>
      <c r="C303" s="33"/>
      <c r="D303" s="33"/>
      <c r="E303" s="33"/>
      <c r="F303" s="33"/>
      <c r="G303" s="33"/>
      <c r="H303" s="33"/>
      <c r="I303" s="33"/>
    </row>
    <row r="304" spans="1:9" s="54" customFormat="1" ht="11.4" customHeight="1" x14ac:dyDescent="0.3">
      <c r="A304" s="33"/>
      <c r="B304" s="33"/>
      <c r="C304" s="33"/>
      <c r="D304" s="33"/>
      <c r="E304" s="33"/>
      <c r="F304" s="33"/>
      <c r="G304" s="33"/>
      <c r="H304" s="33"/>
      <c r="I304" s="33"/>
    </row>
    <row r="305" spans="1:9" s="54" customFormat="1" ht="11.4" customHeight="1" x14ac:dyDescent="0.3">
      <c r="A305" s="33"/>
      <c r="B305" s="33"/>
      <c r="C305" s="33"/>
      <c r="D305" s="33"/>
      <c r="E305" s="33"/>
      <c r="F305" s="33"/>
      <c r="G305" s="33"/>
      <c r="H305" s="33"/>
      <c r="I305" s="33"/>
    </row>
    <row r="306" spans="1:9" s="54" customFormat="1" ht="11.4" customHeight="1" x14ac:dyDescent="0.3">
      <c r="A306" s="33"/>
      <c r="B306" s="33"/>
      <c r="C306" s="33"/>
      <c r="D306" s="33"/>
      <c r="E306" s="33"/>
      <c r="F306" s="33"/>
      <c r="G306" s="33"/>
      <c r="H306" s="33"/>
      <c r="I306" s="33"/>
    </row>
    <row r="307" spans="1:9" s="54" customFormat="1" ht="11.4" customHeight="1" x14ac:dyDescent="0.3">
      <c r="A307" s="33"/>
      <c r="B307" s="33"/>
      <c r="C307" s="33"/>
      <c r="D307" s="33"/>
      <c r="E307" s="33"/>
      <c r="F307" s="33"/>
      <c r="G307" s="33"/>
      <c r="H307" s="33"/>
      <c r="I307" s="33"/>
    </row>
    <row r="308" spans="1:9" s="54" customFormat="1" ht="11.4" customHeight="1" x14ac:dyDescent="0.3">
      <c r="A308" s="33"/>
      <c r="B308" s="33"/>
      <c r="C308" s="33"/>
      <c r="D308" s="33"/>
      <c r="E308" s="33"/>
      <c r="F308" s="33"/>
      <c r="G308" s="33"/>
      <c r="H308" s="33"/>
      <c r="I308" s="33"/>
    </row>
    <row r="309" spans="1:9" s="54" customFormat="1" ht="11.4" customHeight="1" x14ac:dyDescent="0.3">
      <c r="A309" s="33"/>
      <c r="B309" s="33"/>
      <c r="C309" s="33"/>
      <c r="D309" s="33"/>
      <c r="E309" s="33"/>
      <c r="F309" s="33"/>
      <c r="G309" s="33"/>
      <c r="H309" s="33"/>
      <c r="I309" s="33"/>
    </row>
    <row r="310" spans="1:9" s="54" customFormat="1" ht="11.4" customHeight="1" x14ac:dyDescent="0.3">
      <c r="A310" s="33"/>
      <c r="B310" s="33"/>
      <c r="C310" s="33"/>
      <c r="D310" s="33"/>
      <c r="E310" s="33"/>
      <c r="F310" s="33"/>
      <c r="G310" s="33"/>
      <c r="H310" s="33"/>
      <c r="I310" s="33"/>
    </row>
    <row r="311" spans="1:9" s="54" customFormat="1" ht="11.4" customHeight="1" x14ac:dyDescent="0.3">
      <c r="A311" s="33"/>
      <c r="B311" s="33"/>
      <c r="C311" s="33"/>
      <c r="D311" s="33"/>
      <c r="E311" s="33"/>
      <c r="F311" s="33"/>
      <c r="G311" s="33"/>
      <c r="H311" s="33"/>
      <c r="I311" s="33"/>
    </row>
    <row r="312" spans="1:9" s="54" customFormat="1" ht="11.4" customHeight="1" x14ac:dyDescent="0.3">
      <c r="A312" s="33"/>
      <c r="B312" s="33"/>
      <c r="C312" s="33"/>
      <c r="D312" s="33"/>
      <c r="E312" s="33"/>
      <c r="F312" s="33"/>
      <c r="G312" s="33"/>
      <c r="H312" s="33"/>
      <c r="I312" s="33"/>
    </row>
    <row r="313" spans="1:9" s="54" customFormat="1" ht="11.4" customHeight="1" x14ac:dyDescent="0.3">
      <c r="A313" s="33"/>
      <c r="B313" s="33"/>
      <c r="C313" s="33"/>
      <c r="D313" s="33"/>
      <c r="E313" s="33"/>
      <c r="F313" s="33"/>
      <c r="G313" s="33"/>
      <c r="H313" s="33"/>
      <c r="I313" s="33"/>
    </row>
    <row r="314" spans="1:9" s="54" customFormat="1" ht="11.4" customHeight="1" x14ac:dyDescent="0.3">
      <c r="A314" s="33"/>
      <c r="B314" s="33"/>
      <c r="C314" s="33"/>
      <c r="D314" s="33"/>
      <c r="E314" s="33"/>
      <c r="F314" s="33"/>
      <c r="G314" s="33"/>
      <c r="H314" s="33"/>
      <c r="I314" s="33"/>
    </row>
    <row r="315" spans="1:9" s="54" customFormat="1" ht="11.4" customHeight="1" x14ac:dyDescent="0.3">
      <c r="A315" s="33"/>
      <c r="B315" s="33"/>
      <c r="C315" s="33"/>
      <c r="D315" s="33"/>
      <c r="E315" s="33"/>
      <c r="F315" s="33"/>
      <c r="G315" s="33"/>
      <c r="H315" s="33"/>
      <c r="I315" s="33"/>
    </row>
    <row r="316" spans="1:9" s="54" customFormat="1" ht="11.4" customHeight="1" x14ac:dyDescent="0.3">
      <c r="A316" s="33"/>
      <c r="B316" s="33"/>
      <c r="C316" s="33"/>
      <c r="D316" s="33"/>
      <c r="E316" s="33"/>
      <c r="F316" s="33"/>
      <c r="G316" s="33"/>
      <c r="H316" s="33"/>
      <c r="I316" s="33"/>
    </row>
    <row r="317" spans="1:9" s="54" customFormat="1" ht="11.4" customHeight="1" x14ac:dyDescent="0.3">
      <c r="A317" s="33"/>
      <c r="B317" s="33"/>
      <c r="C317" s="33"/>
      <c r="D317" s="33"/>
      <c r="E317" s="33"/>
      <c r="F317" s="33"/>
      <c r="G317" s="33"/>
      <c r="H317" s="33"/>
      <c r="I317" s="33"/>
    </row>
    <row r="318" spans="1:9" s="54" customFormat="1" ht="11.4" customHeight="1" x14ac:dyDescent="0.3">
      <c r="A318" s="33"/>
      <c r="B318" s="33"/>
      <c r="C318" s="33"/>
      <c r="D318" s="33"/>
      <c r="E318" s="33"/>
      <c r="F318" s="33"/>
      <c r="G318" s="33"/>
      <c r="H318" s="33"/>
      <c r="I318" s="33"/>
    </row>
    <row r="319" spans="1:9" s="54" customFormat="1" ht="11.4" customHeight="1" x14ac:dyDescent="0.3">
      <c r="A319" s="33"/>
      <c r="B319" s="33"/>
      <c r="C319" s="33"/>
      <c r="D319" s="33"/>
      <c r="E319" s="33"/>
      <c r="F319" s="33"/>
      <c r="G319" s="33"/>
      <c r="H319" s="33"/>
      <c r="I319" s="33"/>
    </row>
    <row r="320" spans="1:9" s="54" customFormat="1" ht="11.4" customHeight="1" x14ac:dyDescent="0.3">
      <c r="A320" s="33"/>
      <c r="B320" s="33"/>
      <c r="C320" s="33"/>
      <c r="D320" s="33"/>
      <c r="E320" s="33"/>
      <c r="F320" s="33"/>
      <c r="G320" s="33"/>
      <c r="H320" s="33"/>
      <c r="I320" s="33"/>
    </row>
    <row r="321" spans="1:9" s="54" customFormat="1" ht="11.4" customHeight="1" x14ac:dyDescent="0.3">
      <c r="A321" s="33"/>
      <c r="B321" s="33"/>
      <c r="C321" s="33"/>
      <c r="D321" s="33"/>
      <c r="E321" s="33"/>
      <c r="F321" s="33"/>
      <c r="G321" s="33"/>
      <c r="H321" s="33"/>
      <c r="I321" s="33"/>
    </row>
    <row r="322" spans="1:9" s="54" customFormat="1" ht="11.4" customHeight="1" x14ac:dyDescent="0.3">
      <c r="A322" s="33"/>
      <c r="B322" s="33"/>
      <c r="C322" s="33"/>
      <c r="D322" s="33"/>
      <c r="E322" s="33"/>
      <c r="F322" s="33"/>
      <c r="G322" s="33"/>
      <c r="H322" s="33"/>
      <c r="I322" s="33"/>
    </row>
    <row r="323" spans="1:9" s="54" customFormat="1" ht="11.4" customHeight="1" x14ac:dyDescent="0.3">
      <c r="A323" s="33"/>
      <c r="B323" s="33"/>
      <c r="C323" s="33"/>
      <c r="D323" s="33"/>
      <c r="E323" s="33"/>
      <c r="F323" s="33"/>
      <c r="G323" s="33"/>
      <c r="H323" s="33"/>
      <c r="I323" s="33"/>
    </row>
    <row r="324" spans="1:9" s="54" customFormat="1" ht="11.4" customHeight="1" x14ac:dyDescent="0.3">
      <c r="A324" s="33"/>
      <c r="B324" s="33"/>
      <c r="C324" s="33"/>
      <c r="D324" s="33"/>
      <c r="E324" s="33"/>
      <c r="F324" s="33"/>
      <c r="G324" s="33"/>
      <c r="H324" s="33"/>
      <c r="I324" s="33"/>
    </row>
    <row r="325" spans="1:9" s="54" customFormat="1" ht="11.4" customHeight="1" x14ac:dyDescent="0.3">
      <c r="A325" s="33"/>
      <c r="B325" s="33"/>
      <c r="C325" s="33"/>
      <c r="D325" s="33"/>
      <c r="E325" s="33"/>
      <c r="F325" s="33"/>
      <c r="G325" s="33"/>
      <c r="H325" s="33"/>
      <c r="I325" s="33"/>
    </row>
    <row r="326" spans="1:9" s="54" customFormat="1" ht="11.4" customHeight="1" x14ac:dyDescent="0.3">
      <c r="A326" s="33"/>
      <c r="B326" s="33"/>
      <c r="C326" s="33"/>
      <c r="D326" s="33"/>
      <c r="E326" s="33"/>
      <c r="F326" s="33"/>
      <c r="G326" s="33"/>
      <c r="H326" s="33"/>
      <c r="I326" s="33"/>
    </row>
    <row r="327" spans="1:9" s="54" customFormat="1" ht="11.4" customHeight="1" x14ac:dyDescent="0.3">
      <c r="A327" s="33"/>
      <c r="B327" s="33"/>
      <c r="C327" s="33"/>
      <c r="D327" s="33"/>
      <c r="E327" s="33"/>
      <c r="F327" s="33"/>
      <c r="G327" s="33"/>
      <c r="H327" s="33"/>
      <c r="I327" s="33"/>
    </row>
    <row r="328" spans="1:9" s="54" customFormat="1" ht="11.4" customHeight="1" x14ac:dyDescent="0.3">
      <c r="A328" s="33"/>
      <c r="B328" s="33"/>
      <c r="C328" s="33"/>
      <c r="D328" s="33"/>
      <c r="E328" s="33"/>
      <c r="F328" s="33"/>
      <c r="G328" s="33"/>
      <c r="H328" s="33"/>
      <c r="I328" s="33"/>
    </row>
    <row r="329" spans="1:9" s="54" customFormat="1" ht="11.4" customHeight="1" x14ac:dyDescent="0.3">
      <c r="A329" s="33"/>
      <c r="B329" s="33"/>
      <c r="C329" s="33"/>
      <c r="D329" s="33"/>
      <c r="E329" s="33"/>
      <c r="F329" s="33"/>
      <c r="G329" s="33"/>
      <c r="H329" s="33"/>
      <c r="I329" s="33"/>
    </row>
    <row r="330" spans="1:9" s="54" customFormat="1" ht="11.4" customHeight="1" x14ac:dyDescent="0.3">
      <c r="A330" s="33"/>
      <c r="B330" s="33"/>
      <c r="C330" s="33"/>
      <c r="D330" s="33"/>
      <c r="E330" s="33"/>
      <c r="F330" s="33"/>
      <c r="G330" s="33"/>
      <c r="H330" s="33"/>
      <c r="I330" s="33"/>
    </row>
    <row r="331" spans="1:9" s="54" customFormat="1" ht="11.4" customHeight="1" x14ac:dyDescent="0.3">
      <c r="A331" s="33"/>
      <c r="B331" s="33"/>
      <c r="C331" s="33"/>
      <c r="D331" s="33"/>
      <c r="E331" s="33"/>
      <c r="F331" s="33"/>
      <c r="G331" s="33"/>
      <c r="H331" s="33"/>
      <c r="I331" s="33"/>
    </row>
    <row r="332" spans="1:9" s="54" customFormat="1" ht="11.4" customHeight="1" x14ac:dyDescent="0.3">
      <c r="A332" s="33"/>
      <c r="B332" s="33"/>
      <c r="C332" s="33"/>
      <c r="D332" s="33"/>
      <c r="E332" s="33"/>
      <c r="F332" s="33"/>
      <c r="G332" s="33"/>
      <c r="H332" s="33"/>
      <c r="I332" s="33"/>
    </row>
    <row r="333" spans="1:9" s="54" customFormat="1" ht="11.4" customHeight="1" x14ac:dyDescent="0.3">
      <c r="A333" s="33"/>
      <c r="B333" s="33"/>
      <c r="C333" s="33"/>
      <c r="D333" s="33"/>
      <c r="E333" s="33"/>
      <c r="F333" s="33"/>
      <c r="G333" s="33"/>
      <c r="H333" s="33"/>
      <c r="I333" s="33"/>
    </row>
    <row r="334" spans="1:9" s="54" customFormat="1" ht="11.4" customHeight="1" x14ac:dyDescent="0.3">
      <c r="A334" s="33"/>
      <c r="B334" s="33"/>
      <c r="C334" s="33"/>
      <c r="D334" s="33"/>
      <c r="E334" s="33"/>
      <c r="F334" s="33"/>
      <c r="G334" s="33"/>
      <c r="H334" s="33"/>
      <c r="I334" s="33"/>
    </row>
    <row r="335" spans="1:9" s="54" customFormat="1" ht="11.4" customHeight="1" x14ac:dyDescent="0.3">
      <c r="A335" s="33"/>
      <c r="B335" s="33"/>
      <c r="C335" s="33"/>
      <c r="D335" s="33"/>
      <c r="E335" s="33"/>
      <c r="F335" s="33"/>
      <c r="G335" s="33"/>
      <c r="H335" s="33"/>
      <c r="I335" s="33"/>
    </row>
    <row r="336" spans="1:9" s="54" customFormat="1" ht="11.4" customHeight="1" x14ac:dyDescent="0.3">
      <c r="A336" s="33"/>
      <c r="B336" s="33"/>
      <c r="C336" s="33"/>
      <c r="D336" s="33"/>
      <c r="E336" s="33"/>
      <c r="F336" s="33"/>
      <c r="G336" s="33"/>
      <c r="H336" s="33"/>
      <c r="I336" s="33"/>
    </row>
    <row r="337" spans="1:9" s="54" customFormat="1" ht="11.4" customHeight="1" x14ac:dyDescent="0.3">
      <c r="A337" s="33"/>
      <c r="B337" s="33"/>
      <c r="C337" s="33"/>
      <c r="D337" s="33"/>
      <c r="E337" s="33"/>
      <c r="F337" s="33"/>
      <c r="G337" s="33"/>
      <c r="H337" s="33"/>
      <c r="I337" s="33"/>
    </row>
    <row r="338" spans="1:9" s="54" customFormat="1" ht="11.4" customHeight="1" x14ac:dyDescent="0.3">
      <c r="A338" s="33"/>
      <c r="B338" s="33"/>
      <c r="C338" s="33"/>
      <c r="D338" s="33"/>
      <c r="E338" s="33"/>
      <c r="F338" s="33"/>
      <c r="G338" s="33"/>
      <c r="H338" s="33"/>
      <c r="I338" s="33"/>
    </row>
    <row r="339" spans="1:9" s="54" customFormat="1" ht="11.4" customHeight="1" x14ac:dyDescent="0.3">
      <c r="A339" s="33"/>
      <c r="B339" s="33"/>
      <c r="C339" s="33"/>
      <c r="D339" s="33"/>
      <c r="E339" s="33"/>
      <c r="F339" s="33"/>
      <c r="G339" s="33"/>
      <c r="H339" s="33"/>
      <c r="I339" s="33"/>
    </row>
    <row r="340" spans="1:9" s="54" customFormat="1" ht="11.4" customHeight="1" x14ac:dyDescent="0.3">
      <c r="A340" s="33"/>
      <c r="B340" s="33"/>
      <c r="C340" s="33"/>
      <c r="D340" s="33"/>
      <c r="E340" s="33"/>
      <c r="F340" s="33"/>
      <c r="G340" s="33"/>
      <c r="H340" s="33"/>
      <c r="I340" s="33"/>
    </row>
    <row r="341" spans="1:9" s="54" customFormat="1" ht="11.4" customHeight="1" x14ac:dyDescent="0.3">
      <c r="A341" s="33"/>
      <c r="B341" s="33"/>
      <c r="C341" s="33"/>
      <c r="D341" s="33"/>
      <c r="E341" s="33"/>
      <c r="F341" s="33"/>
      <c r="G341" s="33"/>
      <c r="H341" s="33"/>
      <c r="I341" s="33"/>
    </row>
    <row r="342" spans="1:9" s="54" customFormat="1" ht="11.4" customHeight="1" x14ac:dyDescent="0.3">
      <c r="A342" s="33"/>
      <c r="B342" s="33"/>
      <c r="C342" s="33"/>
      <c r="D342" s="33"/>
      <c r="E342" s="33"/>
      <c r="F342" s="33"/>
      <c r="G342" s="33"/>
      <c r="H342" s="33"/>
      <c r="I342" s="33"/>
    </row>
    <row r="343" spans="1:9" s="54" customFormat="1" ht="11.4" customHeight="1" x14ac:dyDescent="0.3">
      <c r="A343" s="33"/>
      <c r="B343" s="33"/>
      <c r="C343" s="33"/>
      <c r="D343" s="33"/>
      <c r="E343" s="33"/>
      <c r="F343" s="33"/>
      <c r="G343" s="33"/>
      <c r="H343" s="33"/>
      <c r="I343" s="33"/>
    </row>
    <row r="344" spans="1:9" s="54" customFormat="1" ht="11.4" customHeight="1" x14ac:dyDescent="0.3">
      <c r="A344" s="33"/>
      <c r="B344" s="33"/>
      <c r="C344" s="33"/>
      <c r="D344" s="33"/>
      <c r="E344" s="33"/>
      <c r="F344" s="33"/>
      <c r="G344" s="33"/>
      <c r="H344" s="33"/>
      <c r="I344" s="33"/>
    </row>
    <row r="345" spans="1:9" s="54" customFormat="1" ht="11.4" customHeight="1" x14ac:dyDescent="0.3">
      <c r="A345" s="33"/>
      <c r="B345" s="33"/>
      <c r="C345" s="33"/>
      <c r="D345" s="33"/>
      <c r="E345" s="33"/>
      <c r="F345" s="33"/>
      <c r="G345" s="33"/>
      <c r="H345" s="33"/>
      <c r="I345" s="33"/>
    </row>
    <row r="346" spans="1:9" s="54" customFormat="1" ht="11.4" customHeight="1" x14ac:dyDescent="0.3">
      <c r="A346" s="33"/>
      <c r="B346" s="33"/>
      <c r="C346" s="33"/>
      <c r="D346" s="33"/>
      <c r="E346" s="33"/>
      <c r="F346" s="33"/>
      <c r="G346" s="33"/>
      <c r="H346" s="33"/>
      <c r="I346" s="33"/>
    </row>
    <row r="347" spans="1:9" s="54" customFormat="1" ht="11.4" customHeight="1" x14ac:dyDescent="0.3">
      <c r="A347" s="33"/>
      <c r="B347" s="33"/>
      <c r="C347" s="33"/>
      <c r="D347" s="33"/>
      <c r="E347" s="33"/>
      <c r="F347" s="33"/>
      <c r="G347" s="33"/>
      <c r="H347" s="33"/>
      <c r="I347" s="33"/>
    </row>
    <row r="348" spans="1:9" s="54" customFormat="1" ht="11.4" customHeight="1" x14ac:dyDescent="0.3">
      <c r="A348" s="33"/>
      <c r="B348" s="33"/>
      <c r="C348" s="33"/>
      <c r="D348" s="33"/>
      <c r="E348" s="33"/>
      <c r="F348" s="33"/>
      <c r="G348" s="33"/>
      <c r="H348" s="33"/>
      <c r="I348" s="33"/>
    </row>
    <row r="349" spans="1:9" s="54" customFormat="1" ht="11.4" customHeight="1" x14ac:dyDescent="0.3">
      <c r="A349" s="33"/>
      <c r="B349" s="33"/>
      <c r="C349" s="33"/>
      <c r="D349" s="33"/>
      <c r="E349" s="33"/>
      <c r="F349" s="33"/>
      <c r="G349" s="33"/>
      <c r="H349" s="33"/>
      <c r="I349" s="33"/>
    </row>
    <row r="350" spans="1:9" s="54" customFormat="1" ht="11.4" customHeight="1" x14ac:dyDescent="0.3">
      <c r="A350" s="33"/>
      <c r="B350" s="33"/>
      <c r="C350" s="33"/>
      <c r="D350" s="33"/>
      <c r="E350" s="33"/>
      <c r="F350" s="33"/>
      <c r="G350" s="33"/>
      <c r="H350" s="33"/>
      <c r="I350" s="33"/>
    </row>
    <row r="351" spans="1:9" s="54" customFormat="1" ht="11.4" customHeight="1" x14ac:dyDescent="0.3">
      <c r="A351" s="33"/>
      <c r="B351" s="33"/>
      <c r="C351" s="33"/>
      <c r="D351" s="33"/>
      <c r="E351" s="33"/>
      <c r="F351" s="33"/>
      <c r="G351" s="33"/>
      <c r="H351" s="33"/>
      <c r="I351" s="33"/>
    </row>
    <row r="352" spans="1:9" s="54" customFormat="1" ht="11.4" customHeight="1" x14ac:dyDescent="0.3">
      <c r="A352" s="33"/>
      <c r="B352" s="33"/>
      <c r="C352" s="33"/>
      <c r="D352" s="33"/>
      <c r="E352" s="33"/>
      <c r="F352" s="33"/>
      <c r="G352" s="33"/>
      <c r="H352" s="33"/>
      <c r="I352" s="33"/>
    </row>
    <row r="353" spans="1:9" s="54" customFormat="1" ht="11.4" customHeight="1" x14ac:dyDescent="0.3">
      <c r="A353" s="33"/>
      <c r="B353" s="33"/>
      <c r="C353" s="33"/>
      <c r="D353" s="33"/>
      <c r="E353" s="33"/>
      <c r="F353" s="33"/>
      <c r="G353" s="33"/>
      <c r="H353" s="33"/>
      <c r="I353" s="33"/>
    </row>
    <row r="354" spans="1:9" s="54" customFormat="1" ht="11.4" customHeight="1" x14ac:dyDescent="0.3">
      <c r="A354" s="33"/>
      <c r="B354" s="33"/>
      <c r="C354" s="33"/>
      <c r="D354" s="33"/>
      <c r="E354" s="33"/>
      <c r="F354" s="33"/>
      <c r="G354" s="33"/>
      <c r="H354" s="33"/>
      <c r="I354" s="33"/>
    </row>
    <row r="355" spans="1:9" s="54" customFormat="1" ht="11.4" customHeight="1" x14ac:dyDescent="0.3">
      <c r="A355" s="33"/>
      <c r="B355" s="33"/>
      <c r="C355" s="33"/>
      <c r="D355" s="33"/>
      <c r="E355" s="33"/>
      <c r="F355" s="33"/>
      <c r="G355" s="33"/>
      <c r="H355" s="33"/>
      <c r="I355" s="33"/>
    </row>
    <row r="356" spans="1:9" s="54" customFormat="1" ht="11.4" customHeight="1" x14ac:dyDescent="0.3">
      <c r="A356" s="33"/>
      <c r="B356" s="33"/>
      <c r="C356" s="33"/>
      <c r="D356" s="33"/>
      <c r="E356" s="33"/>
      <c r="F356" s="33"/>
      <c r="G356" s="33"/>
      <c r="H356" s="33"/>
      <c r="I356" s="33"/>
    </row>
    <row r="357" spans="1:9" s="54" customFormat="1" ht="11.4" customHeight="1" x14ac:dyDescent="0.3">
      <c r="A357" s="33"/>
      <c r="B357" s="33"/>
      <c r="C357" s="33"/>
      <c r="D357" s="33"/>
      <c r="E357" s="33"/>
      <c r="F357" s="33"/>
      <c r="G357" s="33"/>
      <c r="H357" s="33"/>
      <c r="I357" s="33"/>
    </row>
    <row r="358" spans="1:9" s="54" customFormat="1" ht="11.4" customHeight="1" x14ac:dyDescent="0.3">
      <c r="A358" s="33"/>
      <c r="B358" s="33"/>
      <c r="C358" s="33"/>
      <c r="D358" s="33"/>
      <c r="E358" s="33"/>
      <c r="F358" s="33"/>
      <c r="G358" s="33"/>
      <c r="H358" s="33"/>
      <c r="I358" s="33"/>
    </row>
    <row r="359" spans="1:9" s="54" customFormat="1" ht="11.4" customHeight="1" x14ac:dyDescent="0.3">
      <c r="A359" s="33"/>
      <c r="B359" s="33"/>
      <c r="C359" s="33"/>
      <c r="D359" s="33"/>
      <c r="E359" s="33"/>
      <c r="F359" s="33"/>
      <c r="G359" s="33"/>
      <c r="H359" s="33"/>
      <c r="I359" s="33"/>
    </row>
    <row r="360" spans="1:9" s="54" customFormat="1" ht="11.4" customHeight="1" x14ac:dyDescent="0.3">
      <c r="A360" s="33"/>
      <c r="B360" s="33"/>
      <c r="C360" s="33"/>
      <c r="D360" s="33"/>
      <c r="E360" s="33"/>
      <c r="F360" s="33"/>
      <c r="G360" s="33"/>
      <c r="H360" s="33"/>
      <c r="I360" s="33"/>
    </row>
    <row r="361" spans="1:9" s="54" customFormat="1" ht="11.4" customHeight="1" x14ac:dyDescent="0.3">
      <c r="A361" s="33"/>
      <c r="B361" s="33"/>
      <c r="C361" s="33"/>
      <c r="D361" s="33"/>
      <c r="E361" s="33"/>
      <c r="F361" s="33"/>
      <c r="G361" s="33"/>
      <c r="H361" s="33"/>
      <c r="I361" s="33"/>
    </row>
    <row r="362" spans="1:9" s="54" customFormat="1" ht="11.4" customHeight="1" x14ac:dyDescent="0.3">
      <c r="A362" s="33"/>
      <c r="B362" s="33"/>
      <c r="C362" s="33"/>
      <c r="D362" s="33"/>
      <c r="E362" s="33"/>
      <c r="F362" s="33"/>
      <c r="G362" s="33"/>
      <c r="H362" s="33"/>
      <c r="I362" s="33"/>
    </row>
    <row r="363" spans="1:9" s="54" customFormat="1" ht="11.4" customHeight="1" x14ac:dyDescent="0.3">
      <c r="A363" s="33"/>
      <c r="B363" s="33"/>
      <c r="C363" s="33"/>
      <c r="D363" s="33"/>
      <c r="E363" s="33"/>
      <c r="F363" s="33"/>
      <c r="G363" s="33"/>
      <c r="H363" s="33"/>
      <c r="I363" s="33"/>
    </row>
    <row r="364" spans="1:9" s="54" customFormat="1" ht="11.4" customHeight="1" x14ac:dyDescent="0.3">
      <c r="A364" s="33"/>
      <c r="B364" s="33"/>
      <c r="C364" s="33"/>
      <c r="D364" s="33"/>
      <c r="E364" s="33"/>
      <c r="F364" s="33"/>
      <c r="G364" s="33"/>
      <c r="H364" s="33"/>
      <c r="I364" s="33"/>
    </row>
    <row r="365" spans="1:9" s="54" customFormat="1" ht="11.4" customHeight="1" x14ac:dyDescent="0.3">
      <c r="A365" s="33"/>
      <c r="B365" s="33"/>
      <c r="C365" s="33"/>
      <c r="D365" s="33"/>
      <c r="E365" s="33"/>
      <c r="F365" s="33"/>
      <c r="G365" s="33"/>
      <c r="H365" s="33"/>
      <c r="I365" s="33"/>
    </row>
    <row r="366" spans="1:9" s="54" customFormat="1" ht="11.4" customHeight="1" x14ac:dyDescent="0.3">
      <c r="A366" s="33"/>
      <c r="B366" s="33"/>
      <c r="C366" s="33"/>
      <c r="D366" s="33"/>
      <c r="E366" s="33"/>
      <c r="F366" s="33"/>
      <c r="G366" s="33"/>
      <c r="H366" s="33"/>
      <c r="I366" s="33"/>
    </row>
    <row r="367" spans="1:9" s="54" customFormat="1" ht="11.4" customHeight="1" x14ac:dyDescent="0.3">
      <c r="A367" s="33"/>
      <c r="B367" s="33"/>
      <c r="C367" s="33"/>
      <c r="D367" s="33"/>
      <c r="E367" s="33"/>
      <c r="F367" s="33"/>
      <c r="G367" s="33"/>
      <c r="H367" s="33"/>
      <c r="I367" s="33"/>
    </row>
    <row r="368" spans="1:9" s="54" customFormat="1" ht="11.4" customHeight="1" x14ac:dyDescent="0.3">
      <c r="A368" s="33"/>
      <c r="B368" s="33"/>
      <c r="C368" s="33"/>
      <c r="D368" s="33"/>
      <c r="E368" s="33"/>
      <c r="F368" s="33"/>
      <c r="G368" s="33"/>
      <c r="H368" s="33"/>
      <c r="I368" s="33"/>
    </row>
    <row r="369" spans="1:9" s="54" customFormat="1" ht="11.4" customHeight="1" x14ac:dyDescent="0.3">
      <c r="A369" s="33"/>
      <c r="B369" s="33"/>
      <c r="C369" s="33"/>
      <c r="D369" s="33"/>
      <c r="E369" s="33"/>
      <c r="F369" s="33"/>
      <c r="G369" s="33"/>
      <c r="H369" s="33"/>
      <c r="I369" s="33"/>
    </row>
    <row r="370" spans="1:9" s="54" customFormat="1" ht="11.4" customHeight="1" x14ac:dyDescent="0.3">
      <c r="A370" s="33"/>
      <c r="B370" s="33"/>
      <c r="C370" s="33"/>
      <c r="D370" s="33"/>
      <c r="E370" s="33"/>
      <c r="F370" s="33"/>
      <c r="G370" s="33"/>
      <c r="H370" s="33"/>
      <c r="I370" s="33"/>
    </row>
    <row r="371" spans="1:9" s="54" customFormat="1" ht="11.4" customHeight="1" x14ac:dyDescent="0.3">
      <c r="A371" s="33"/>
      <c r="B371" s="33"/>
      <c r="C371" s="33"/>
      <c r="D371" s="33"/>
      <c r="E371" s="33"/>
      <c r="F371" s="33"/>
      <c r="G371" s="33"/>
      <c r="H371" s="33"/>
      <c r="I371" s="33"/>
    </row>
    <row r="372" spans="1:9" s="54" customFormat="1" ht="11.4" customHeight="1" x14ac:dyDescent="0.3">
      <c r="A372" s="33"/>
      <c r="B372" s="33"/>
      <c r="C372" s="33"/>
      <c r="D372" s="33"/>
      <c r="E372" s="33"/>
      <c r="F372" s="33"/>
      <c r="G372" s="33"/>
      <c r="H372" s="33"/>
      <c r="I372" s="33"/>
    </row>
    <row r="373" spans="1:9" s="54" customFormat="1" ht="11.4" customHeight="1" x14ac:dyDescent="0.3">
      <c r="A373" s="33"/>
      <c r="B373" s="33"/>
      <c r="C373" s="33"/>
      <c r="D373" s="33"/>
      <c r="E373" s="33"/>
      <c r="F373" s="33"/>
      <c r="G373" s="33"/>
      <c r="H373" s="33"/>
      <c r="I373" s="33"/>
    </row>
    <row r="374" spans="1:9" s="54" customFormat="1" ht="11.4" customHeight="1" x14ac:dyDescent="0.3">
      <c r="A374" s="33"/>
      <c r="B374" s="33"/>
      <c r="C374" s="33"/>
      <c r="D374" s="33"/>
      <c r="E374" s="33"/>
      <c r="F374" s="33"/>
      <c r="G374" s="33"/>
      <c r="H374" s="33"/>
      <c r="I374" s="33"/>
    </row>
    <row r="375" spans="1:9" s="54" customFormat="1" ht="11.4" customHeight="1" x14ac:dyDescent="0.3">
      <c r="A375" s="33"/>
      <c r="B375" s="33"/>
      <c r="C375" s="33"/>
      <c r="D375" s="33"/>
      <c r="E375" s="33"/>
      <c r="F375" s="33"/>
      <c r="G375" s="33"/>
      <c r="H375" s="33"/>
      <c r="I375" s="33"/>
    </row>
    <row r="376" spans="1:9" s="54" customFormat="1" ht="11.4" customHeight="1" x14ac:dyDescent="0.3">
      <c r="A376" s="33"/>
      <c r="B376" s="33"/>
      <c r="C376" s="33"/>
      <c r="D376" s="33"/>
      <c r="E376" s="33"/>
      <c r="F376" s="33"/>
      <c r="G376" s="33"/>
      <c r="H376" s="33"/>
      <c r="I376" s="33"/>
    </row>
    <row r="377" spans="1:9" s="54" customFormat="1" ht="11.4" customHeight="1" x14ac:dyDescent="0.3">
      <c r="A377" s="33"/>
      <c r="B377" s="33"/>
      <c r="C377" s="33"/>
      <c r="D377" s="33"/>
      <c r="E377" s="33"/>
      <c r="F377" s="33"/>
      <c r="G377" s="33"/>
      <c r="H377" s="33"/>
      <c r="I377" s="33"/>
    </row>
    <row r="378" spans="1:9" s="54" customFormat="1" ht="11.4" customHeight="1" x14ac:dyDescent="0.3">
      <c r="A378" s="33"/>
      <c r="B378" s="33"/>
      <c r="C378" s="33"/>
      <c r="D378" s="33"/>
      <c r="E378" s="33"/>
      <c r="F378" s="33"/>
      <c r="G378" s="33"/>
      <c r="H378" s="33"/>
      <c r="I378" s="33"/>
    </row>
    <row r="379" spans="1:9" s="54" customFormat="1" ht="11.4" customHeight="1" x14ac:dyDescent="0.3">
      <c r="A379" s="33"/>
      <c r="B379" s="33"/>
      <c r="C379" s="33"/>
      <c r="D379" s="33"/>
      <c r="E379" s="33"/>
      <c r="F379" s="33"/>
      <c r="G379" s="33"/>
      <c r="H379" s="33"/>
      <c r="I379" s="33"/>
    </row>
    <row r="380" spans="1:9" s="54" customFormat="1" ht="11.4" customHeight="1" x14ac:dyDescent="0.3">
      <c r="A380" s="33"/>
      <c r="B380" s="33"/>
      <c r="C380" s="33"/>
      <c r="D380" s="33"/>
      <c r="E380" s="33"/>
      <c r="F380" s="33"/>
      <c r="G380" s="33"/>
      <c r="H380" s="33"/>
      <c r="I380" s="33"/>
    </row>
    <row r="381" spans="1:9" s="54" customFormat="1" ht="11.4" customHeight="1" x14ac:dyDescent="0.3">
      <c r="A381" s="33"/>
      <c r="B381" s="33"/>
      <c r="C381" s="33"/>
      <c r="D381" s="33"/>
      <c r="E381" s="33"/>
      <c r="F381" s="33"/>
      <c r="G381" s="33"/>
      <c r="H381" s="33"/>
      <c r="I381" s="33"/>
    </row>
    <row r="382" spans="1:9" s="54" customFormat="1" ht="11.4" customHeight="1" x14ac:dyDescent="0.3">
      <c r="A382" s="33"/>
      <c r="B382" s="33"/>
      <c r="C382" s="33"/>
      <c r="D382" s="33"/>
      <c r="E382" s="33"/>
      <c r="F382" s="33"/>
      <c r="G382" s="33"/>
      <c r="H382" s="33"/>
      <c r="I382" s="33"/>
    </row>
    <row r="383" spans="1:9" s="54" customFormat="1" ht="11.4" customHeight="1" x14ac:dyDescent="0.3">
      <c r="A383" s="33"/>
      <c r="B383" s="33"/>
      <c r="C383" s="33"/>
      <c r="D383" s="33"/>
      <c r="E383" s="33"/>
      <c r="F383" s="33"/>
      <c r="G383" s="33"/>
      <c r="H383" s="33"/>
      <c r="I383" s="33"/>
    </row>
    <row r="384" spans="1:9" s="54" customFormat="1" ht="11.4" customHeight="1" x14ac:dyDescent="0.3">
      <c r="A384" s="33"/>
      <c r="B384" s="33"/>
      <c r="C384" s="33"/>
      <c r="D384" s="33"/>
      <c r="E384" s="33"/>
      <c r="F384" s="33"/>
      <c r="G384" s="33"/>
      <c r="H384" s="33"/>
      <c r="I384" s="33"/>
    </row>
    <row r="385" spans="1:9" s="54" customFormat="1" ht="11.4" customHeight="1" x14ac:dyDescent="0.3">
      <c r="A385" s="33"/>
      <c r="B385" s="33"/>
      <c r="C385" s="33"/>
      <c r="D385" s="33"/>
      <c r="E385" s="33"/>
      <c r="F385" s="33"/>
      <c r="G385" s="33"/>
      <c r="H385" s="33"/>
      <c r="I385" s="33"/>
    </row>
    <row r="386" spans="1:9" s="54" customFormat="1" ht="11.4" customHeight="1" x14ac:dyDescent="0.3">
      <c r="A386" s="33"/>
      <c r="B386" s="33"/>
      <c r="C386" s="33"/>
      <c r="D386" s="33"/>
      <c r="E386" s="33"/>
      <c r="F386" s="33"/>
      <c r="G386" s="33"/>
      <c r="H386" s="33"/>
      <c r="I386" s="33"/>
    </row>
    <row r="387" spans="1:9" s="54" customFormat="1" ht="11.4" customHeight="1" x14ac:dyDescent="0.3">
      <c r="A387" s="33"/>
      <c r="B387" s="33"/>
      <c r="C387" s="33"/>
      <c r="D387" s="33"/>
      <c r="E387" s="33"/>
      <c r="F387" s="33"/>
      <c r="G387" s="33"/>
      <c r="H387" s="33"/>
      <c r="I387" s="33"/>
    </row>
    <row r="388" spans="1:9" s="54" customFormat="1" ht="11.4" customHeight="1" x14ac:dyDescent="0.3">
      <c r="A388" s="33"/>
      <c r="B388" s="33"/>
      <c r="C388" s="33"/>
      <c r="D388" s="33"/>
      <c r="E388" s="33"/>
      <c r="F388" s="33"/>
      <c r="G388" s="33"/>
      <c r="H388" s="33"/>
      <c r="I388" s="33"/>
    </row>
    <row r="389" spans="1:9" s="54" customFormat="1" ht="11.4" customHeight="1" x14ac:dyDescent="0.3">
      <c r="A389" s="33"/>
      <c r="B389" s="33"/>
      <c r="C389" s="33"/>
      <c r="D389" s="33"/>
      <c r="E389" s="33"/>
      <c r="F389" s="33"/>
      <c r="G389" s="33"/>
      <c r="H389" s="33"/>
      <c r="I389" s="33"/>
    </row>
    <row r="390" spans="1:9" s="54" customFormat="1" ht="11.4" customHeight="1" x14ac:dyDescent="0.3">
      <c r="A390" s="33"/>
      <c r="B390" s="33"/>
      <c r="C390" s="33"/>
      <c r="D390" s="33"/>
      <c r="E390" s="33"/>
      <c r="F390" s="33"/>
      <c r="G390" s="33"/>
      <c r="H390" s="33"/>
      <c r="I390" s="33"/>
    </row>
    <row r="391" spans="1:9" s="54" customFormat="1" ht="11.4" customHeight="1" x14ac:dyDescent="0.3">
      <c r="A391" s="33"/>
      <c r="B391" s="33"/>
      <c r="C391" s="33"/>
      <c r="D391" s="33"/>
      <c r="E391" s="33"/>
      <c r="F391" s="33"/>
      <c r="G391" s="33"/>
      <c r="H391" s="33"/>
      <c r="I391" s="33"/>
    </row>
    <row r="392" spans="1:9" s="54" customFormat="1" ht="11.4" customHeight="1" x14ac:dyDescent="0.3">
      <c r="A392" s="33"/>
      <c r="B392" s="33"/>
      <c r="C392" s="33"/>
      <c r="D392" s="33"/>
      <c r="E392" s="33"/>
      <c r="F392" s="33"/>
      <c r="G392" s="33"/>
      <c r="H392" s="33"/>
      <c r="I392" s="33"/>
    </row>
    <row r="393" spans="1:9" s="54" customFormat="1" ht="11.4" customHeight="1" x14ac:dyDescent="0.3">
      <c r="A393" s="33"/>
      <c r="B393" s="33"/>
      <c r="C393" s="33"/>
      <c r="D393" s="33"/>
      <c r="E393" s="33"/>
      <c r="F393" s="33"/>
      <c r="G393" s="33"/>
      <c r="H393" s="33"/>
      <c r="I393" s="33"/>
    </row>
    <row r="394" spans="1:9" s="54" customFormat="1" ht="11.4" customHeight="1" x14ac:dyDescent="0.3">
      <c r="A394" s="33"/>
      <c r="B394" s="33"/>
      <c r="C394" s="33"/>
      <c r="D394" s="33"/>
      <c r="E394" s="33"/>
      <c r="F394" s="33"/>
      <c r="G394" s="33"/>
      <c r="H394" s="33"/>
      <c r="I394" s="33"/>
    </row>
    <row r="395" spans="1:9" s="54" customFormat="1" ht="11.4" customHeight="1" x14ac:dyDescent="0.3">
      <c r="A395" s="33"/>
      <c r="B395" s="33"/>
      <c r="C395" s="33"/>
      <c r="D395" s="33"/>
      <c r="E395" s="33"/>
      <c r="F395" s="33"/>
      <c r="G395" s="33"/>
      <c r="H395" s="33"/>
      <c r="I395" s="33"/>
    </row>
    <row r="396" spans="1:9" s="54" customFormat="1" ht="11.4" customHeight="1" x14ac:dyDescent="0.3">
      <c r="A396" s="33"/>
      <c r="B396" s="33"/>
      <c r="C396" s="33"/>
      <c r="D396" s="33"/>
      <c r="E396" s="33"/>
      <c r="F396" s="33"/>
      <c r="G396" s="33"/>
      <c r="H396" s="33"/>
      <c r="I396" s="33"/>
    </row>
    <row r="397" spans="1:9" s="54" customFormat="1" ht="11.4" customHeight="1" x14ac:dyDescent="0.3">
      <c r="A397" s="33"/>
      <c r="B397" s="33"/>
      <c r="C397" s="33"/>
      <c r="D397" s="33"/>
      <c r="E397" s="33"/>
      <c r="F397" s="33"/>
      <c r="G397" s="33"/>
      <c r="H397" s="33"/>
      <c r="I397" s="33"/>
    </row>
    <row r="398" spans="1:9" s="54" customFormat="1" ht="11.4" customHeight="1" x14ac:dyDescent="0.3">
      <c r="A398" s="33"/>
      <c r="B398" s="33"/>
      <c r="C398" s="33"/>
      <c r="D398" s="33"/>
      <c r="E398" s="33"/>
      <c r="F398" s="33"/>
      <c r="G398" s="33"/>
      <c r="H398" s="33"/>
      <c r="I398" s="33"/>
    </row>
    <row r="399" spans="1:9" s="54" customFormat="1" ht="11.4" customHeight="1" x14ac:dyDescent="0.3">
      <c r="A399" s="33"/>
      <c r="B399" s="33"/>
      <c r="C399" s="33"/>
      <c r="D399" s="33"/>
      <c r="E399" s="33"/>
      <c r="F399" s="33"/>
      <c r="G399" s="33"/>
      <c r="H399" s="33"/>
      <c r="I399" s="33"/>
    </row>
    <row r="400" spans="1:9" s="54" customFormat="1" ht="11.4" customHeight="1" x14ac:dyDescent="0.3">
      <c r="A400" s="33"/>
      <c r="B400" s="33"/>
      <c r="C400" s="33"/>
      <c r="D400" s="33"/>
      <c r="E400" s="33"/>
      <c r="F400" s="33"/>
      <c r="G400" s="33"/>
      <c r="H400" s="33"/>
      <c r="I400" s="33"/>
    </row>
    <row r="401" spans="1:9" s="54" customFormat="1" ht="11.4" customHeight="1" x14ac:dyDescent="0.3">
      <c r="A401" s="33"/>
      <c r="B401" s="33"/>
      <c r="C401" s="33"/>
      <c r="D401" s="33"/>
      <c r="E401" s="33"/>
      <c r="F401" s="33"/>
      <c r="G401" s="33"/>
      <c r="H401" s="33"/>
      <c r="I401" s="33"/>
    </row>
    <row r="402" spans="1:9" s="54" customFormat="1" ht="11.4" customHeight="1" x14ac:dyDescent="0.3">
      <c r="A402" s="33"/>
      <c r="B402" s="33"/>
      <c r="C402" s="33"/>
      <c r="D402" s="33"/>
      <c r="E402" s="33"/>
      <c r="F402" s="33"/>
      <c r="G402" s="33"/>
      <c r="H402" s="33"/>
      <c r="I402" s="33"/>
    </row>
    <row r="403" spans="1:9" s="54" customFormat="1" ht="11.4" customHeight="1" x14ac:dyDescent="0.3">
      <c r="A403" s="33"/>
      <c r="B403" s="33"/>
      <c r="C403" s="33"/>
      <c r="D403" s="33"/>
      <c r="E403" s="33"/>
      <c r="F403" s="33"/>
      <c r="G403" s="33"/>
      <c r="H403" s="33"/>
      <c r="I403" s="33"/>
    </row>
    <row r="404" spans="1:9" s="54" customFormat="1" ht="11.4" customHeight="1" x14ac:dyDescent="0.3">
      <c r="A404" s="33"/>
      <c r="B404" s="33"/>
      <c r="C404" s="33"/>
      <c r="D404" s="33"/>
      <c r="E404" s="33"/>
      <c r="F404" s="33"/>
      <c r="G404" s="33"/>
      <c r="H404" s="33"/>
      <c r="I404" s="33"/>
    </row>
    <row r="405" spans="1:9" s="54" customFormat="1" ht="11.4" customHeight="1" x14ac:dyDescent="0.3">
      <c r="A405" s="33"/>
      <c r="B405" s="33"/>
      <c r="C405" s="33"/>
      <c r="D405" s="33"/>
      <c r="E405" s="33"/>
      <c r="F405" s="33"/>
      <c r="G405" s="33"/>
      <c r="H405" s="33"/>
      <c r="I405" s="33"/>
    </row>
    <row r="406" spans="1:9" s="54" customFormat="1" ht="11.4" customHeight="1" x14ac:dyDescent="0.3">
      <c r="A406" s="33"/>
      <c r="B406" s="33"/>
      <c r="C406" s="33"/>
      <c r="D406" s="33"/>
      <c r="E406" s="33"/>
      <c r="F406" s="33"/>
      <c r="G406" s="33"/>
      <c r="H406" s="33"/>
      <c r="I406" s="33"/>
    </row>
    <row r="407" spans="1:9" s="54" customFormat="1" ht="11.4" customHeight="1" x14ac:dyDescent="0.3">
      <c r="A407" s="33"/>
      <c r="B407" s="33"/>
      <c r="C407" s="33"/>
      <c r="D407" s="33"/>
      <c r="E407" s="33"/>
      <c r="F407" s="33"/>
      <c r="G407" s="33"/>
      <c r="H407" s="33"/>
      <c r="I407" s="33"/>
    </row>
    <row r="408" spans="1:9" s="54" customFormat="1" ht="11.4" customHeight="1" x14ac:dyDescent="0.3">
      <c r="A408" s="33"/>
      <c r="B408" s="33"/>
      <c r="C408" s="33"/>
      <c r="D408" s="33"/>
      <c r="E408" s="33"/>
      <c r="F408" s="33"/>
      <c r="G408" s="33"/>
      <c r="H408" s="33"/>
      <c r="I408" s="33"/>
    </row>
    <row r="409" spans="1:9" s="54" customFormat="1" ht="11.4" customHeight="1" x14ac:dyDescent="0.3">
      <c r="A409" s="33"/>
      <c r="B409" s="33"/>
      <c r="C409" s="33"/>
      <c r="D409" s="33"/>
      <c r="E409" s="33"/>
      <c r="F409" s="33"/>
      <c r="G409" s="33"/>
      <c r="H409" s="33"/>
      <c r="I409" s="33"/>
    </row>
    <row r="410" spans="1:9" s="54" customFormat="1" ht="11.4" customHeight="1" x14ac:dyDescent="0.3">
      <c r="A410" s="33"/>
      <c r="B410" s="33"/>
      <c r="C410" s="33"/>
      <c r="D410" s="33"/>
      <c r="E410" s="33"/>
      <c r="F410" s="33"/>
      <c r="G410" s="33"/>
      <c r="H410" s="33"/>
      <c r="I410" s="33"/>
    </row>
    <row r="411" spans="1:9" s="54" customFormat="1" ht="11.4" customHeight="1" x14ac:dyDescent="0.3">
      <c r="A411" s="33"/>
      <c r="B411" s="33"/>
      <c r="C411" s="33"/>
      <c r="D411" s="33"/>
      <c r="E411" s="33"/>
      <c r="F411" s="33"/>
      <c r="G411" s="33"/>
      <c r="H411" s="33"/>
      <c r="I411" s="33"/>
    </row>
    <row r="412" spans="1:9" s="54" customFormat="1" ht="11.4" customHeight="1" x14ac:dyDescent="0.3">
      <c r="A412" s="33"/>
      <c r="B412" s="33"/>
      <c r="C412" s="33"/>
      <c r="D412" s="33"/>
      <c r="E412" s="33"/>
      <c r="F412" s="33"/>
      <c r="G412" s="33"/>
      <c r="H412" s="33"/>
      <c r="I412" s="33"/>
    </row>
    <row r="413" spans="1:9" s="54" customFormat="1" ht="11.4" customHeight="1" x14ac:dyDescent="0.3">
      <c r="A413" s="33"/>
      <c r="B413" s="33"/>
      <c r="C413" s="33"/>
      <c r="D413" s="33"/>
      <c r="E413" s="33"/>
      <c r="F413" s="33"/>
      <c r="G413" s="33"/>
      <c r="H413" s="33"/>
      <c r="I413" s="33"/>
    </row>
    <row r="414" spans="1:9" s="54" customFormat="1" ht="11.4" customHeight="1" x14ac:dyDescent="0.3">
      <c r="A414" s="33"/>
      <c r="B414" s="33"/>
      <c r="C414" s="33"/>
      <c r="D414" s="33"/>
      <c r="E414" s="33"/>
      <c r="F414" s="33"/>
      <c r="G414" s="33"/>
      <c r="H414" s="33"/>
      <c r="I414" s="33"/>
    </row>
    <row r="415" spans="1:9" s="54" customFormat="1" ht="11.4" customHeight="1" x14ac:dyDescent="0.3">
      <c r="A415" s="33"/>
      <c r="B415" s="33"/>
      <c r="C415" s="33"/>
      <c r="D415" s="33"/>
      <c r="E415" s="33"/>
      <c r="F415" s="33"/>
      <c r="G415" s="33"/>
      <c r="H415" s="33"/>
      <c r="I415" s="33"/>
    </row>
    <row r="416" spans="1:9" s="54" customFormat="1" ht="11.4" customHeight="1" x14ac:dyDescent="0.3">
      <c r="A416" s="33"/>
      <c r="B416" s="33"/>
      <c r="C416" s="33"/>
      <c r="D416" s="33"/>
      <c r="E416" s="33"/>
      <c r="F416" s="33"/>
      <c r="G416" s="33"/>
      <c r="H416" s="33"/>
      <c r="I416" s="33"/>
    </row>
    <row r="417" spans="1:9" s="54" customFormat="1" ht="11.4" customHeight="1" x14ac:dyDescent="0.3">
      <c r="A417" s="33"/>
      <c r="B417" s="33"/>
      <c r="C417" s="33"/>
      <c r="D417" s="33"/>
      <c r="E417" s="33"/>
      <c r="F417" s="33"/>
      <c r="G417" s="33"/>
      <c r="H417" s="33"/>
      <c r="I417" s="33"/>
    </row>
    <row r="418" spans="1:9" s="54" customFormat="1" ht="11.4" customHeight="1" x14ac:dyDescent="0.3">
      <c r="A418" s="33"/>
      <c r="B418" s="33"/>
      <c r="C418" s="33"/>
      <c r="D418" s="33"/>
      <c r="E418" s="33"/>
      <c r="F418" s="33"/>
      <c r="G418" s="33"/>
      <c r="H418" s="33"/>
      <c r="I418" s="33"/>
    </row>
    <row r="419" spans="1:9" s="54" customFormat="1" ht="11.4" customHeight="1" x14ac:dyDescent="0.3">
      <c r="A419" s="33"/>
      <c r="B419" s="33"/>
      <c r="C419" s="33"/>
      <c r="D419" s="33"/>
      <c r="E419" s="33"/>
      <c r="F419" s="33"/>
      <c r="G419" s="33"/>
      <c r="H419" s="33"/>
      <c r="I419" s="33"/>
    </row>
    <row r="420" spans="1:9" s="54" customFormat="1" ht="11.4" customHeight="1" x14ac:dyDescent="0.3">
      <c r="A420" s="33"/>
      <c r="B420" s="33"/>
      <c r="C420" s="33"/>
      <c r="D420" s="33"/>
      <c r="E420" s="33"/>
      <c r="F420" s="33"/>
      <c r="G420" s="33"/>
      <c r="H420" s="33"/>
      <c r="I420" s="33"/>
    </row>
    <row r="421" spans="1:9" s="54" customFormat="1" ht="11.4" customHeight="1" x14ac:dyDescent="0.3">
      <c r="A421" s="33"/>
      <c r="B421" s="33"/>
      <c r="C421" s="33"/>
      <c r="D421" s="33"/>
      <c r="E421" s="33"/>
      <c r="F421" s="33"/>
      <c r="G421" s="33"/>
      <c r="H421" s="33"/>
      <c r="I421" s="33"/>
    </row>
    <row r="422" spans="1:9" s="54" customFormat="1" ht="11.4" customHeight="1" x14ac:dyDescent="0.3">
      <c r="A422" s="33"/>
      <c r="B422" s="33"/>
      <c r="C422" s="33"/>
      <c r="D422" s="33"/>
      <c r="E422" s="33"/>
      <c r="F422" s="33"/>
      <c r="G422" s="33"/>
      <c r="H422" s="33"/>
      <c r="I422" s="33"/>
    </row>
    <row r="423" spans="1:9" s="54" customFormat="1" ht="11.4" customHeight="1" x14ac:dyDescent="0.3">
      <c r="A423" s="33"/>
      <c r="B423" s="33"/>
      <c r="C423" s="33"/>
      <c r="D423" s="33"/>
      <c r="E423" s="33"/>
      <c r="F423" s="33"/>
      <c r="G423" s="33"/>
      <c r="H423" s="33"/>
      <c r="I423" s="33"/>
    </row>
    <row r="424" spans="1:9" s="54" customFormat="1" ht="11.4" customHeight="1" x14ac:dyDescent="0.3">
      <c r="A424" s="33"/>
      <c r="B424" s="33"/>
      <c r="C424" s="33"/>
      <c r="D424" s="33"/>
      <c r="E424" s="33"/>
      <c r="F424" s="33"/>
      <c r="G424" s="33"/>
      <c r="H424" s="33"/>
      <c r="I424" s="33"/>
    </row>
    <row r="425" spans="1:9" s="54" customFormat="1" ht="11.4" customHeight="1" x14ac:dyDescent="0.3">
      <c r="A425" s="33"/>
      <c r="B425" s="33"/>
      <c r="C425" s="33"/>
      <c r="D425" s="33"/>
      <c r="E425" s="33"/>
      <c r="F425" s="33"/>
      <c r="G425" s="33"/>
      <c r="H425" s="33"/>
      <c r="I425" s="33"/>
    </row>
    <row r="426" spans="1:9" s="54" customFormat="1" ht="11.4" customHeight="1" x14ac:dyDescent="0.3">
      <c r="A426" s="33"/>
      <c r="B426" s="33"/>
      <c r="C426" s="33"/>
      <c r="D426" s="33"/>
      <c r="E426" s="33"/>
      <c r="F426" s="33"/>
      <c r="G426" s="33"/>
      <c r="H426" s="33"/>
      <c r="I426" s="33"/>
    </row>
    <row r="427" spans="1:9" s="54" customFormat="1" ht="11.4" customHeight="1" x14ac:dyDescent="0.3">
      <c r="A427" s="33"/>
      <c r="B427" s="33"/>
      <c r="C427" s="33"/>
      <c r="D427" s="33"/>
      <c r="E427" s="33"/>
      <c r="F427" s="33"/>
      <c r="G427" s="33"/>
      <c r="H427" s="33"/>
      <c r="I427" s="33"/>
    </row>
    <row r="428" spans="1:9" s="54" customFormat="1" ht="11.4" customHeight="1" x14ac:dyDescent="0.3">
      <c r="A428" s="33"/>
      <c r="B428" s="33"/>
      <c r="C428" s="33"/>
      <c r="D428" s="33"/>
      <c r="E428" s="33"/>
      <c r="F428" s="33"/>
      <c r="G428" s="33"/>
      <c r="H428" s="33"/>
      <c r="I428" s="33"/>
    </row>
    <row r="429" spans="1:9" s="54" customFormat="1" ht="11.4" customHeight="1" x14ac:dyDescent="0.3">
      <c r="A429" s="33"/>
      <c r="B429" s="33"/>
      <c r="C429" s="33"/>
      <c r="D429" s="33"/>
      <c r="E429" s="33"/>
      <c r="F429" s="33"/>
      <c r="G429" s="33"/>
      <c r="H429" s="33"/>
      <c r="I429" s="33"/>
    </row>
    <row r="430" spans="1:9" s="54" customFormat="1" ht="11.4" customHeight="1" x14ac:dyDescent="0.3">
      <c r="A430" s="33"/>
      <c r="B430" s="33"/>
      <c r="C430" s="33"/>
      <c r="D430" s="33"/>
      <c r="E430" s="33"/>
      <c r="F430" s="33"/>
      <c r="G430" s="33"/>
      <c r="H430" s="33"/>
      <c r="I430" s="33"/>
    </row>
    <row r="431" spans="1:9" s="54" customFormat="1" ht="11.4" customHeight="1" x14ac:dyDescent="0.3">
      <c r="A431" s="33"/>
      <c r="B431" s="33"/>
      <c r="C431" s="33"/>
      <c r="D431" s="33"/>
      <c r="E431" s="33"/>
      <c r="F431" s="33"/>
      <c r="G431" s="33"/>
      <c r="H431" s="33"/>
      <c r="I431" s="33"/>
    </row>
    <row r="432" spans="1:9" s="54" customFormat="1" ht="11.4" customHeight="1" x14ac:dyDescent="0.3">
      <c r="A432" s="33"/>
      <c r="B432" s="33"/>
      <c r="C432" s="33"/>
      <c r="D432" s="33"/>
      <c r="E432" s="33"/>
      <c r="F432" s="33"/>
      <c r="G432" s="33"/>
      <c r="H432" s="33"/>
      <c r="I432" s="33"/>
    </row>
    <row r="433" spans="1:9" s="54" customFormat="1" ht="11.4" customHeight="1" x14ac:dyDescent="0.3">
      <c r="A433" s="33"/>
      <c r="B433" s="33"/>
      <c r="C433" s="33"/>
      <c r="D433" s="33"/>
      <c r="E433" s="33"/>
      <c r="F433" s="33"/>
      <c r="G433" s="33"/>
      <c r="H433" s="33"/>
      <c r="I433" s="33"/>
    </row>
    <row r="434" spans="1:9" s="54" customFormat="1" ht="11.4" customHeight="1" x14ac:dyDescent="0.3">
      <c r="A434" s="33"/>
      <c r="B434" s="33"/>
      <c r="C434" s="33"/>
      <c r="D434" s="33"/>
      <c r="E434" s="33"/>
      <c r="F434" s="33"/>
      <c r="G434" s="33"/>
      <c r="H434" s="33"/>
      <c r="I434" s="33"/>
    </row>
    <row r="435" spans="1:9" s="54" customFormat="1" ht="11.4" customHeight="1" x14ac:dyDescent="0.3">
      <c r="A435" s="33"/>
      <c r="B435" s="33"/>
      <c r="C435" s="33"/>
      <c r="D435" s="33"/>
      <c r="E435" s="33"/>
      <c r="F435" s="33"/>
      <c r="G435" s="33"/>
      <c r="H435" s="33"/>
      <c r="I435" s="33"/>
    </row>
    <row r="436" spans="1:9" s="54" customFormat="1" ht="11.4" customHeight="1" x14ac:dyDescent="0.3">
      <c r="A436" s="33"/>
      <c r="B436" s="33"/>
      <c r="C436" s="33"/>
      <c r="D436" s="33"/>
      <c r="E436" s="33"/>
      <c r="F436" s="33"/>
      <c r="G436" s="33"/>
      <c r="H436" s="33"/>
      <c r="I436" s="33"/>
    </row>
    <row r="437" spans="1:9" s="54" customFormat="1" ht="11.4" customHeight="1" x14ac:dyDescent="0.3">
      <c r="A437" s="33"/>
      <c r="B437" s="33"/>
      <c r="C437" s="33"/>
      <c r="D437" s="33"/>
      <c r="E437" s="33"/>
      <c r="F437" s="33"/>
      <c r="G437" s="33"/>
      <c r="H437" s="33"/>
      <c r="I437" s="33"/>
    </row>
    <row r="438" spans="1:9" s="54" customFormat="1" ht="11.4" customHeight="1" x14ac:dyDescent="0.3">
      <c r="A438" s="33"/>
      <c r="B438" s="33"/>
      <c r="C438" s="33"/>
      <c r="D438" s="33"/>
      <c r="E438" s="33"/>
      <c r="F438" s="33"/>
      <c r="G438" s="33"/>
      <c r="H438" s="33"/>
      <c r="I438" s="33"/>
    </row>
    <row r="439" spans="1:9" s="54" customFormat="1" ht="11.4" customHeight="1" x14ac:dyDescent="0.3">
      <c r="A439" s="33"/>
      <c r="B439" s="33"/>
      <c r="C439" s="33"/>
      <c r="D439" s="33"/>
      <c r="E439" s="33"/>
      <c r="F439" s="33"/>
      <c r="G439" s="33"/>
      <c r="H439" s="33"/>
      <c r="I439" s="33"/>
    </row>
    <row r="440" spans="1:9" s="54" customFormat="1" ht="11.4" customHeight="1" x14ac:dyDescent="0.3">
      <c r="A440" s="33"/>
      <c r="B440" s="33"/>
      <c r="C440" s="33"/>
      <c r="D440" s="33"/>
      <c r="E440" s="33"/>
      <c r="F440" s="33"/>
      <c r="G440" s="33"/>
      <c r="H440" s="33"/>
      <c r="I440" s="33"/>
    </row>
    <row r="441" spans="1:9" s="54" customFormat="1" ht="11.4" customHeight="1" x14ac:dyDescent="0.3">
      <c r="A441" s="33"/>
      <c r="B441" s="33"/>
      <c r="C441" s="33"/>
      <c r="D441" s="33"/>
      <c r="E441" s="33"/>
      <c r="F441" s="33"/>
      <c r="G441" s="33"/>
      <c r="H441" s="33"/>
      <c r="I441" s="33"/>
    </row>
    <row r="442" spans="1:9" s="54" customFormat="1" ht="11.4" customHeight="1" x14ac:dyDescent="0.3">
      <c r="A442" s="33"/>
      <c r="B442" s="33"/>
      <c r="C442" s="33"/>
      <c r="D442" s="33"/>
      <c r="E442" s="33"/>
      <c r="F442" s="33"/>
      <c r="G442" s="33"/>
      <c r="H442" s="33"/>
      <c r="I442" s="33"/>
    </row>
    <row r="443" spans="1:9" s="54" customFormat="1" ht="11.4" customHeight="1" x14ac:dyDescent="0.3">
      <c r="A443" s="33"/>
      <c r="B443" s="33"/>
      <c r="C443" s="33"/>
      <c r="D443" s="33"/>
      <c r="E443" s="33"/>
      <c r="F443" s="33"/>
      <c r="G443" s="33"/>
      <c r="H443" s="33"/>
      <c r="I443" s="33"/>
    </row>
    <row r="444" spans="1:9" s="54" customFormat="1" ht="11.4" customHeight="1" x14ac:dyDescent="0.3">
      <c r="A444" s="33"/>
      <c r="B444" s="33"/>
      <c r="C444" s="33"/>
      <c r="D444" s="33"/>
      <c r="E444" s="33"/>
      <c r="F444" s="33"/>
      <c r="G444" s="33"/>
      <c r="H444" s="33"/>
      <c r="I444" s="33"/>
    </row>
    <row r="445" spans="1:9" s="54" customFormat="1" ht="11.4" customHeight="1" x14ac:dyDescent="0.3">
      <c r="A445" s="33"/>
      <c r="B445" s="33"/>
      <c r="C445" s="33"/>
      <c r="D445" s="33"/>
      <c r="E445" s="33"/>
      <c r="F445" s="33"/>
      <c r="G445" s="33"/>
      <c r="H445" s="33"/>
      <c r="I445" s="33"/>
    </row>
    <row r="446" spans="1:9" s="54" customFormat="1" ht="11.4" customHeight="1" x14ac:dyDescent="0.3">
      <c r="A446" s="33"/>
      <c r="B446" s="33"/>
      <c r="C446" s="33"/>
      <c r="D446" s="33"/>
      <c r="E446" s="33"/>
      <c r="F446" s="33"/>
      <c r="G446" s="33"/>
      <c r="H446" s="33"/>
      <c r="I446" s="33"/>
    </row>
    <row r="447" spans="1:9" s="54" customFormat="1" ht="11.4" customHeight="1" x14ac:dyDescent="0.3">
      <c r="A447" s="33"/>
      <c r="B447" s="33"/>
      <c r="C447" s="33"/>
      <c r="D447" s="33"/>
      <c r="E447" s="33"/>
      <c r="F447" s="33"/>
      <c r="G447" s="33"/>
      <c r="H447" s="33"/>
      <c r="I447" s="33"/>
    </row>
    <row r="448" spans="1:9" s="54" customFormat="1" ht="11.4" customHeight="1" x14ac:dyDescent="0.3">
      <c r="A448" s="33"/>
      <c r="B448" s="33"/>
      <c r="C448" s="33"/>
      <c r="D448" s="33"/>
      <c r="E448" s="33"/>
      <c r="F448" s="33"/>
      <c r="G448" s="33"/>
      <c r="H448" s="33"/>
      <c r="I448" s="33"/>
    </row>
    <row r="449" spans="1:9" s="54" customFormat="1" ht="11.4" customHeight="1" x14ac:dyDescent="0.3">
      <c r="A449" s="33"/>
      <c r="B449" s="33"/>
      <c r="C449" s="33"/>
      <c r="D449" s="33"/>
      <c r="E449" s="33"/>
      <c r="F449" s="33"/>
      <c r="G449" s="33"/>
      <c r="H449" s="33"/>
      <c r="I449" s="33"/>
    </row>
    <row r="450" spans="1:9" s="54" customFormat="1" ht="11.4" customHeight="1" x14ac:dyDescent="0.3">
      <c r="A450" s="33"/>
      <c r="B450" s="33"/>
      <c r="C450" s="33"/>
      <c r="D450" s="33"/>
      <c r="E450" s="33"/>
      <c r="F450" s="33"/>
      <c r="G450" s="33"/>
      <c r="H450" s="33"/>
      <c r="I450" s="33"/>
    </row>
    <row r="451" spans="1:9" s="54" customFormat="1" ht="11.4" customHeight="1" x14ac:dyDescent="0.3">
      <c r="A451" s="33"/>
      <c r="B451" s="33"/>
      <c r="C451" s="33"/>
      <c r="D451" s="33"/>
      <c r="E451" s="33"/>
      <c r="F451" s="33"/>
      <c r="G451" s="33"/>
      <c r="H451" s="33"/>
      <c r="I451" s="33"/>
    </row>
    <row r="452" spans="1:9" s="54" customFormat="1" ht="11.4" customHeight="1" x14ac:dyDescent="0.3">
      <c r="A452" s="33"/>
      <c r="B452" s="33"/>
      <c r="C452" s="33"/>
      <c r="D452" s="33"/>
      <c r="E452" s="33"/>
      <c r="F452" s="33"/>
      <c r="G452" s="33"/>
      <c r="H452" s="33"/>
      <c r="I452" s="33"/>
    </row>
    <row r="453" spans="1:9" s="54" customFormat="1" ht="11.4" customHeight="1" x14ac:dyDescent="0.3">
      <c r="A453" s="33"/>
      <c r="B453" s="33"/>
      <c r="C453" s="33"/>
      <c r="D453" s="33"/>
      <c r="E453" s="33"/>
      <c r="F453" s="33"/>
      <c r="G453" s="33"/>
      <c r="H453" s="33"/>
      <c r="I453" s="33"/>
    </row>
    <row r="454" spans="1:9" s="54" customFormat="1" ht="11.4" customHeight="1" x14ac:dyDescent="0.3">
      <c r="A454" s="33"/>
      <c r="B454" s="33"/>
      <c r="C454" s="33"/>
      <c r="D454" s="33"/>
      <c r="E454" s="33"/>
      <c r="F454" s="33"/>
      <c r="G454" s="33"/>
      <c r="H454" s="33"/>
      <c r="I454" s="33"/>
    </row>
    <row r="455" spans="1:9" s="54" customFormat="1" ht="11.4" customHeight="1" x14ac:dyDescent="0.3">
      <c r="A455" s="33"/>
      <c r="B455" s="33"/>
      <c r="C455" s="33"/>
      <c r="D455" s="33"/>
      <c r="E455" s="33"/>
      <c r="F455" s="33"/>
      <c r="G455" s="33"/>
      <c r="H455" s="33"/>
      <c r="I455" s="33"/>
    </row>
    <row r="456" spans="1:9" s="54" customFormat="1" ht="11.4" customHeight="1" x14ac:dyDescent="0.3">
      <c r="A456" s="33"/>
      <c r="B456" s="33"/>
      <c r="C456" s="33"/>
      <c r="D456" s="33"/>
      <c r="E456" s="33"/>
      <c r="F456" s="33"/>
      <c r="G456" s="33"/>
      <c r="H456" s="33"/>
      <c r="I456" s="33"/>
    </row>
    <row r="457" spans="1:9" s="54" customFormat="1" ht="11.4" customHeight="1" x14ac:dyDescent="0.3">
      <c r="A457" s="33"/>
      <c r="B457" s="33"/>
      <c r="C457" s="33"/>
      <c r="D457" s="33"/>
      <c r="E457" s="33"/>
      <c r="F457" s="33"/>
      <c r="G457" s="33"/>
      <c r="H457" s="33"/>
      <c r="I457" s="33"/>
    </row>
    <row r="458" spans="1:9" s="54" customFormat="1" ht="11.4" customHeight="1" x14ac:dyDescent="0.3">
      <c r="A458" s="33"/>
      <c r="B458" s="33"/>
      <c r="C458" s="33"/>
      <c r="D458" s="33"/>
      <c r="E458" s="33"/>
      <c r="F458" s="33"/>
      <c r="G458" s="33"/>
      <c r="H458" s="33"/>
      <c r="I458" s="33"/>
    </row>
    <row r="459" spans="1:9" s="54" customFormat="1" ht="11.4" customHeight="1" x14ac:dyDescent="0.3">
      <c r="A459" s="33"/>
      <c r="B459" s="33"/>
      <c r="C459" s="33"/>
      <c r="D459" s="33"/>
      <c r="E459" s="33"/>
      <c r="F459" s="33"/>
      <c r="G459" s="33"/>
      <c r="H459" s="33"/>
      <c r="I459" s="33"/>
    </row>
    <row r="460" spans="1:9" s="54" customFormat="1" ht="11.4" customHeight="1" x14ac:dyDescent="0.3">
      <c r="A460" s="33"/>
      <c r="B460" s="33"/>
      <c r="C460" s="33"/>
      <c r="D460" s="33"/>
      <c r="E460" s="33"/>
      <c r="F460" s="33"/>
      <c r="G460" s="33"/>
      <c r="H460" s="33"/>
      <c r="I460" s="33"/>
    </row>
    <row r="461" spans="1:9" s="54" customFormat="1" ht="11.4" customHeight="1" x14ac:dyDescent="0.3">
      <c r="A461" s="33"/>
      <c r="B461" s="33"/>
      <c r="C461" s="33"/>
      <c r="D461" s="33"/>
      <c r="E461" s="33"/>
      <c r="F461" s="33"/>
      <c r="G461" s="33"/>
      <c r="H461" s="33"/>
      <c r="I461" s="33"/>
    </row>
    <row r="462" spans="1:9" s="54" customFormat="1" ht="11.4" customHeight="1" x14ac:dyDescent="0.3">
      <c r="A462" s="33"/>
      <c r="B462" s="33"/>
      <c r="C462" s="33"/>
      <c r="D462" s="33"/>
      <c r="E462" s="33"/>
      <c r="F462" s="33"/>
      <c r="G462" s="33"/>
      <c r="H462" s="33"/>
      <c r="I462" s="33"/>
    </row>
    <row r="463" spans="1:9" s="54" customFormat="1" ht="11.4" customHeight="1" x14ac:dyDescent="0.3">
      <c r="A463" s="33"/>
      <c r="B463" s="33"/>
      <c r="C463" s="33"/>
      <c r="D463" s="33"/>
      <c r="E463" s="33"/>
      <c r="F463" s="33"/>
      <c r="G463" s="33"/>
      <c r="H463" s="33"/>
      <c r="I463" s="33"/>
    </row>
    <row r="464" spans="1:9" s="54" customFormat="1" ht="11.4" customHeight="1" x14ac:dyDescent="0.3">
      <c r="A464" s="33"/>
      <c r="B464" s="33"/>
      <c r="C464" s="33"/>
      <c r="D464" s="33"/>
      <c r="E464" s="33"/>
      <c r="F464" s="33"/>
      <c r="G464" s="33"/>
      <c r="H464" s="33"/>
      <c r="I464" s="33"/>
    </row>
    <row r="465" spans="1:9" s="54" customFormat="1" ht="11.4" customHeight="1" x14ac:dyDescent="0.3">
      <c r="A465" s="33"/>
      <c r="B465" s="33"/>
      <c r="C465" s="33"/>
      <c r="D465" s="33"/>
      <c r="E465" s="33"/>
      <c r="F465" s="33"/>
      <c r="G465" s="33"/>
      <c r="H465" s="33"/>
      <c r="I465" s="33"/>
    </row>
    <row r="466" spans="1:9" s="54" customFormat="1" ht="11.4" customHeight="1" x14ac:dyDescent="0.3">
      <c r="A466" s="33"/>
      <c r="B466" s="33"/>
      <c r="C466" s="33"/>
      <c r="D466" s="33"/>
      <c r="E466" s="33"/>
      <c r="F466" s="33"/>
      <c r="G466" s="33"/>
      <c r="H466" s="33"/>
      <c r="I466" s="33"/>
    </row>
    <row r="467" spans="1:9" s="54" customFormat="1" ht="11.4" customHeight="1" x14ac:dyDescent="0.3">
      <c r="A467" s="33"/>
      <c r="B467" s="33"/>
      <c r="C467" s="33"/>
      <c r="D467" s="33"/>
      <c r="E467" s="33"/>
      <c r="F467" s="33"/>
      <c r="G467" s="33"/>
      <c r="H467" s="33"/>
      <c r="I467" s="33"/>
    </row>
    <row r="468" spans="1:9" s="54" customFormat="1" ht="11.4" customHeight="1" x14ac:dyDescent="0.3">
      <c r="A468" s="33"/>
      <c r="B468" s="33"/>
      <c r="C468" s="33"/>
      <c r="D468" s="33"/>
      <c r="E468" s="33"/>
      <c r="F468" s="33"/>
      <c r="G468" s="33"/>
      <c r="H468" s="33"/>
      <c r="I468" s="33"/>
    </row>
    <row r="469" spans="1:9" s="54" customFormat="1" ht="11.4" customHeight="1" x14ac:dyDescent="0.3">
      <c r="A469" s="33"/>
      <c r="B469" s="33"/>
      <c r="C469" s="33"/>
      <c r="D469" s="33"/>
      <c r="E469" s="33"/>
      <c r="F469" s="33"/>
      <c r="G469" s="33"/>
      <c r="H469" s="33"/>
      <c r="I469" s="33"/>
    </row>
    <row r="470" spans="1:9" s="54" customFormat="1" ht="11.4" customHeight="1" x14ac:dyDescent="0.3">
      <c r="A470" s="33"/>
      <c r="B470" s="33"/>
      <c r="C470" s="33"/>
      <c r="D470" s="33"/>
      <c r="E470" s="33"/>
      <c r="F470" s="33"/>
      <c r="G470" s="33"/>
      <c r="H470" s="33"/>
      <c r="I470" s="33"/>
    </row>
    <row r="471" spans="1:9" s="54" customFormat="1" ht="11.4" customHeight="1" x14ac:dyDescent="0.3">
      <c r="A471" s="33"/>
      <c r="B471" s="33"/>
      <c r="C471" s="33"/>
      <c r="D471" s="33"/>
      <c r="E471" s="33"/>
      <c r="F471" s="33"/>
      <c r="G471" s="33"/>
      <c r="H471" s="33"/>
      <c r="I471" s="33"/>
    </row>
    <row r="472" spans="1:9" s="54" customFormat="1" ht="11.4" customHeight="1" x14ac:dyDescent="0.3">
      <c r="A472" s="33"/>
      <c r="B472" s="33"/>
      <c r="C472" s="33"/>
      <c r="D472" s="33"/>
      <c r="E472" s="33"/>
      <c r="F472" s="33"/>
      <c r="G472" s="33"/>
      <c r="H472" s="33"/>
      <c r="I472" s="33"/>
    </row>
    <row r="473" spans="1:9" s="54" customFormat="1" ht="11.4" customHeight="1" x14ac:dyDescent="0.3">
      <c r="A473" s="33"/>
      <c r="B473" s="33"/>
      <c r="C473" s="33"/>
      <c r="D473" s="33"/>
      <c r="E473" s="33"/>
      <c r="F473" s="33"/>
      <c r="G473" s="33"/>
      <c r="H473" s="33"/>
      <c r="I473" s="33"/>
    </row>
    <row r="474" spans="1:9" s="54" customFormat="1" ht="11.4" customHeight="1" x14ac:dyDescent="0.3">
      <c r="A474" s="33"/>
      <c r="B474" s="33"/>
      <c r="C474" s="33"/>
      <c r="D474" s="33"/>
      <c r="E474" s="33"/>
      <c r="F474" s="33"/>
      <c r="G474" s="33"/>
      <c r="H474" s="33"/>
      <c r="I474" s="33"/>
    </row>
    <row r="475" spans="1:9" s="54" customFormat="1" ht="11.4" customHeight="1" x14ac:dyDescent="0.3">
      <c r="A475" s="33"/>
      <c r="B475" s="33"/>
      <c r="C475" s="33"/>
      <c r="D475" s="33"/>
      <c r="E475" s="33"/>
      <c r="F475" s="33"/>
      <c r="G475" s="33"/>
      <c r="H475" s="33"/>
      <c r="I475" s="33"/>
    </row>
    <row r="476" spans="1:9" s="54" customFormat="1" ht="11.4" customHeight="1" x14ac:dyDescent="0.3">
      <c r="A476" s="33"/>
      <c r="B476" s="33"/>
      <c r="C476" s="33"/>
      <c r="D476" s="33"/>
      <c r="E476" s="33"/>
      <c r="F476" s="33"/>
      <c r="G476" s="33"/>
      <c r="H476" s="33"/>
      <c r="I476" s="33"/>
    </row>
    <row r="477" spans="1:9" s="54" customFormat="1" ht="11.4" customHeight="1" x14ac:dyDescent="0.3">
      <c r="A477" s="33"/>
      <c r="B477" s="33"/>
      <c r="C477" s="33"/>
      <c r="D477" s="33"/>
      <c r="E477" s="33"/>
      <c r="F477" s="33"/>
      <c r="G477" s="33"/>
      <c r="H477" s="33"/>
      <c r="I477" s="33"/>
    </row>
    <row r="478" spans="1:9" s="54" customFormat="1" ht="11.4" customHeight="1" x14ac:dyDescent="0.3">
      <c r="A478" s="33"/>
      <c r="B478" s="33"/>
      <c r="C478" s="33"/>
      <c r="D478" s="33"/>
      <c r="E478" s="33"/>
      <c r="F478" s="33"/>
      <c r="G478" s="33"/>
      <c r="H478" s="33"/>
      <c r="I478" s="33"/>
    </row>
    <row r="479" spans="1:9" s="54" customFormat="1" ht="11.4" customHeight="1" x14ac:dyDescent="0.3">
      <c r="A479" s="33"/>
      <c r="B479" s="33"/>
      <c r="C479" s="33"/>
      <c r="D479" s="33"/>
      <c r="E479" s="33"/>
      <c r="F479" s="33"/>
      <c r="G479" s="33"/>
      <c r="H479" s="33"/>
      <c r="I479" s="33"/>
    </row>
    <row r="480" spans="1:9" s="54" customFormat="1" ht="11.4" customHeight="1" x14ac:dyDescent="0.3">
      <c r="A480" s="33"/>
      <c r="B480" s="33"/>
      <c r="C480" s="33"/>
      <c r="D480" s="33"/>
      <c r="E480" s="33"/>
      <c r="F480" s="33"/>
      <c r="G480" s="33"/>
      <c r="H480" s="33"/>
      <c r="I480" s="33"/>
    </row>
    <row r="481" spans="1:9" s="54" customFormat="1" ht="11.4" customHeight="1" x14ac:dyDescent="0.3">
      <c r="A481" s="33"/>
      <c r="B481" s="33"/>
      <c r="C481" s="33"/>
      <c r="D481" s="33"/>
      <c r="E481" s="33"/>
      <c r="F481" s="33"/>
      <c r="G481" s="33"/>
      <c r="H481" s="33"/>
      <c r="I481" s="33"/>
    </row>
    <row r="482" spans="1:9" s="54" customFormat="1" ht="11.4" customHeight="1" x14ac:dyDescent="0.3">
      <c r="A482" s="33"/>
      <c r="B482" s="33"/>
      <c r="C482" s="33"/>
      <c r="D482" s="33"/>
      <c r="E482" s="33"/>
      <c r="F482" s="33"/>
      <c r="G482" s="33"/>
      <c r="H482" s="33"/>
      <c r="I482" s="33"/>
    </row>
    <row r="483" spans="1:9" s="54" customFormat="1" ht="11.4" customHeight="1" x14ac:dyDescent="0.3">
      <c r="A483" s="33"/>
      <c r="B483" s="33"/>
      <c r="C483" s="33"/>
      <c r="D483" s="33"/>
      <c r="E483" s="33"/>
      <c r="F483" s="33"/>
      <c r="G483" s="33"/>
      <c r="H483" s="33"/>
      <c r="I483" s="33"/>
    </row>
    <row r="484" spans="1:9" s="54" customFormat="1" ht="11.4" customHeight="1" x14ac:dyDescent="0.3">
      <c r="A484" s="33"/>
      <c r="B484" s="33"/>
      <c r="C484" s="33"/>
      <c r="D484" s="33"/>
      <c r="E484" s="33"/>
      <c r="F484" s="33"/>
      <c r="G484" s="33"/>
      <c r="H484" s="33"/>
      <c r="I484" s="33"/>
    </row>
    <row r="485" spans="1:9" s="54" customFormat="1" ht="11.4" customHeight="1" x14ac:dyDescent="0.3">
      <c r="A485" s="33"/>
      <c r="B485" s="33"/>
      <c r="C485" s="33"/>
      <c r="D485" s="33"/>
      <c r="E485" s="33"/>
      <c r="F485" s="33"/>
      <c r="G485" s="33"/>
      <c r="H485" s="33"/>
      <c r="I485" s="33"/>
    </row>
    <row r="486" spans="1:9" s="54" customFormat="1" ht="11.4" customHeight="1" x14ac:dyDescent="0.3">
      <c r="A486" s="33"/>
      <c r="B486" s="33"/>
      <c r="C486" s="33"/>
      <c r="D486" s="33"/>
      <c r="E486" s="33"/>
      <c r="F486" s="33"/>
      <c r="G486" s="33"/>
      <c r="H486" s="33"/>
      <c r="I486" s="33"/>
    </row>
    <row r="487" spans="1:9" s="54" customFormat="1" ht="11.4" customHeight="1" x14ac:dyDescent="0.3">
      <c r="A487" s="33"/>
      <c r="B487" s="33"/>
      <c r="C487" s="33"/>
      <c r="D487" s="33"/>
      <c r="E487" s="33"/>
      <c r="F487" s="33"/>
      <c r="G487" s="33"/>
      <c r="H487" s="33"/>
      <c r="I487" s="33"/>
    </row>
    <row r="488" spans="1:9" s="54" customFormat="1" ht="11.4" customHeight="1" x14ac:dyDescent="0.3">
      <c r="A488" s="33"/>
      <c r="B488" s="33"/>
      <c r="C488" s="33"/>
      <c r="D488" s="33"/>
      <c r="E488" s="33"/>
      <c r="F488" s="33"/>
      <c r="G488" s="33"/>
      <c r="H488" s="33"/>
      <c r="I488" s="33"/>
    </row>
    <row r="489" spans="1:9" s="54" customFormat="1" ht="11.4" customHeight="1" x14ac:dyDescent="0.3">
      <c r="A489" s="33"/>
      <c r="B489" s="33"/>
      <c r="C489" s="33"/>
      <c r="D489" s="33"/>
      <c r="E489" s="33"/>
      <c r="F489" s="33"/>
      <c r="G489" s="33"/>
      <c r="H489" s="33"/>
      <c r="I489" s="33"/>
    </row>
    <row r="490" spans="1:9" s="54" customFormat="1" ht="11.4" customHeight="1" x14ac:dyDescent="0.3">
      <c r="A490" s="33"/>
      <c r="B490" s="33"/>
      <c r="C490" s="33"/>
      <c r="D490" s="33"/>
      <c r="E490" s="33"/>
      <c r="F490" s="33"/>
      <c r="G490" s="33"/>
      <c r="H490" s="33"/>
      <c r="I490" s="33"/>
    </row>
    <row r="491" spans="1:9" s="54" customFormat="1" ht="11.4" customHeight="1" x14ac:dyDescent="0.3">
      <c r="A491" s="33"/>
      <c r="B491" s="33"/>
      <c r="C491" s="33"/>
      <c r="D491" s="33"/>
      <c r="E491" s="33"/>
      <c r="F491" s="33"/>
      <c r="G491" s="33"/>
      <c r="H491" s="33"/>
      <c r="I491" s="33"/>
    </row>
    <row r="492" spans="1:9" s="54" customFormat="1" ht="11.4" customHeight="1" x14ac:dyDescent="0.3">
      <c r="A492" s="33"/>
      <c r="B492" s="33"/>
      <c r="C492" s="33"/>
      <c r="D492" s="33"/>
      <c r="E492" s="33"/>
      <c r="F492" s="33"/>
      <c r="G492" s="33"/>
      <c r="H492" s="33"/>
      <c r="I492" s="33"/>
    </row>
    <row r="493" spans="1:9" s="54" customFormat="1" ht="11.4" customHeight="1" x14ac:dyDescent="0.3">
      <c r="A493" s="33"/>
      <c r="B493" s="33"/>
      <c r="C493" s="33"/>
      <c r="D493" s="33"/>
      <c r="E493" s="33"/>
      <c r="F493" s="33"/>
      <c r="G493" s="33"/>
      <c r="H493" s="33"/>
      <c r="I493" s="33"/>
    </row>
    <row r="494" spans="1:9" s="54" customFormat="1" ht="11.4" customHeight="1" x14ac:dyDescent="0.3">
      <c r="A494" s="33"/>
      <c r="B494" s="33"/>
      <c r="C494" s="33"/>
      <c r="D494" s="33"/>
      <c r="E494" s="33"/>
      <c r="F494" s="33"/>
      <c r="G494" s="33"/>
      <c r="H494" s="33"/>
      <c r="I494" s="33"/>
    </row>
    <row r="495" spans="1:9" s="54" customFormat="1" ht="11.4" customHeight="1" x14ac:dyDescent="0.3">
      <c r="A495" s="33"/>
      <c r="B495" s="33"/>
      <c r="C495" s="33"/>
      <c r="D495" s="33"/>
      <c r="E495" s="33"/>
      <c r="F495" s="33"/>
      <c r="G495" s="33"/>
      <c r="H495" s="33"/>
      <c r="I495" s="33"/>
    </row>
    <row r="496" spans="1:9" s="54" customFormat="1" ht="11.4" customHeight="1" x14ac:dyDescent="0.3">
      <c r="A496" s="33"/>
      <c r="B496" s="33"/>
      <c r="C496" s="33"/>
      <c r="D496" s="33"/>
      <c r="E496" s="33"/>
      <c r="F496" s="33"/>
      <c r="G496" s="33"/>
      <c r="H496" s="33"/>
      <c r="I496" s="33"/>
    </row>
    <row r="497" spans="1:9" s="54" customFormat="1" ht="11.4" customHeight="1" x14ac:dyDescent="0.3">
      <c r="A497" s="33"/>
      <c r="B497" s="33"/>
      <c r="C497" s="33"/>
      <c r="D497" s="33"/>
      <c r="E497" s="33"/>
      <c r="F497" s="33"/>
      <c r="G497" s="33"/>
      <c r="H497" s="33"/>
      <c r="I497" s="33"/>
    </row>
    <row r="498" spans="1:9" s="54" customFormat="1" ht="11.4" customHeight="1" x14ac:dyDescent="0.3">
      <c r="A498" s="33"/>
      <c r="B498" s="33"/>
      <c r="C498" s="33"/>
      <c r="D498" s="33"/>
      <c r="E498" s="33"/>
      <c r="F498" s="33"/>
      <c r="G498" s="33"/>
      <c r="H498" s="33"/>
      <c r="I498" s="33"/>
    </row>
    <row r="499" spans="1:9" s="54" customFormat="1" ht="11.4" customHeight="1" x14ac:dyDescent="0.3">
      <c r="A499" s="33"/>
      <c r="B499" s="33"/>
      <c r="C499" s="33"/>
      <c r="D499" s="33"/>
      <c r="E499" s="33"/>
      <c r="F499" s="33"/>
      <c r="G499" s="33"/>
      <c r="H499" s="33"/>
      <c r="I499" s="33"/>
    </row>
    <row r="500" spans="1:9" s="54" customFormat="1" ht="11.4" customHeight="1" x14ac:dyDescent="0.3">
      <c r="A500" s="33"/>
      <c r="B500" s="33"/>
      <c r="C500" s="33"/>
      <c r="D500" s="33"/>
      <c r="E500" s="33"/>
      <c r="F500" s="33"/>
      <c r="G500" s="33"/>
      <c r="H500" s="33"/>
      <c r="I500" s="33"/>
    </row>
    <row r="501" spans="1:9" s="54" customFormat="1" ht="11.4" customHeight="1" x14ac:dyDescent="0.3">
      <c r="A501" s="33"/>
      <c r="B501" s="33"/>
      <c r="C501" s="33"/>
      <c r="D501" s="33"/>
      <c r="E501" s="33"/>
      <c r="F501" s="33"/>
      <c r="G501" s="33"/>
      <c r="H501" s="33"/>
      <c r="I501" s="33"/>
    </row>
    <row r="502" spans="1:9" s="54" customFormat="1" ht="11.4" customHeight="1" x14ac:dyDescent="0.3">
      <c r="A502" s="33"/>
      <c r="B502" s="33"/>
      <c r="C502" s="33"/>
      <c r="D502" s="33"/>
      <c r="E502" s="33"/>
      <c r="F502" s="33"/>
      <c r="G502" s="33"/>
      <c r="H502" s="33"/>
      <c r="I502" s="33"/>
    </row>
    <row r="503" spans="1:9" s="54" customFormat="1" ht="11.4" customHeight="1" x14ac:dyDescent="0.3">
      <c r="A503" s="33"/>
      <c r="B503" s="33"/>
      <c r="C503" s="33"/>
      <c r="D503" s="33"/>
      <c r="E503" s="33"/>
      <c r="F503" s="33"/>
      <c r="G503" s="33"/>
      <c r="H503" s="33"/>
      <c r="I503" s="33"/>
    </row>
    <row r="504" spans="1:9" s="54" customFormat="1" ht="11.4" customHeight="1" x14ac:dyDescent="0.3">
      <c r="A504" s="33"/>
      <c r="B504" s="33"/>
      <c r="C504" s="33"/>
      <c r="D504" s="33"/>
      <c r="E504" s="33"/>
      <c r="F504" s="33"/>
      <c r="G504" s="33"/>
      <c r="H504" s="33"/>
      <c r="I504" s="33"/>
    </row>
    <row r="505" spans="1:9" s="54" customFormat="1" ht="11.4" customHeight="1" x14ac:dyDescent="0.3">
      <c r="A505" s="33"/>
      <c r="B505" s="33"/>
      <c r="C505" s="33"/>
      <c r="D505" s="33"/>
      <c r="E505" s="33"/>
      <c r="F505" s="33"/>
      <c r="G505" s="33"/>
      <c r="H505" s="33"/>
      <c r="I505" s="33"/>
    </row>
    <row r="506" spans="1:9" s="54" customFormat="1" ht="11.4" customHeight="1" x14ac:dyDescent="0.3">
      <c r="A506" s="33"/>
      <c r="B506" s="33"/>
      <c r="C506" s="33"/>
      <c r="D506" s="33"/>
      <c r="E506" s="33"/>
      <c r="F506" s="33"/>
      <c r="G506" s="33"/>
      <c r="H506" s="33"/>
      <c r="I506" s="33"/>
    </row>
    <row r="507" spans="1:9" s="54" customFormat="1" ht="11.4" customHeight="1" x14ac:dyDescent="0.3">
      <c r="A507" s="33"/>
      <c r="B507" s="33"/>
      <c r="C507" s="33"/>
      <c r="D507" s="33"/>
      <c r="E507" s="33"/>
      <c r="F507" s="33"/>
      <c r="G507" s="33"/>
      <c r="H507" s="33"/>
      <c r="I507" s="33"/>
    </row>
    <row r="508" spans="1:9" s="54" customFormat="1" ht="11.4" customHeight="1" x14ac:dyDescent="0.3">
      <c r="A508" s="33"/>
      <c r="B508" s="33"/>
      <c r="C508" s="33"/>
      <c r="D508" s="33"/>
      <c r="E508" s="33"/>
      <c r="F508" s="33"/>
      <c r="G508" s="33"/>
      <c r="H508" s="33"/>
      <c r="I508" s="33"/>
    </row>
    <row r="509" spans="1:9" s="54" customFormat="1" ht="11.4" customHeight="1" x14ac:dyDescent="0.3">
      <c r="A509" s="33"/>
      <c r="B509" s="33"/>
      <c r="C509" s="33"/>
      <c r="D509" s="33"/>
      <c r="E509" s="33"/>
      <c r="F509" s="33"/>
      <c r="G509" s="33"/>
      <c r="H509" s="33"/>
      <c r="I509" s="33"/>
    </row>
    <row r="510" spans="1:9" s="54" customFormat="1" ht="11.4" customHeight="1" x14ac:dyDescent="0.3">
      <c r="A510" s="33"/>
      <c r="B510" s="33"/>
      <c r="C510" s="33"/>
      <c r="D510" s="33"/>
      <c r="E510" s="33"/>
      <c r="F510" s="33"/>
      <c r="G510" s="33"/>
      <c r="H510" s="33"/>
      <c r="I510" s="33"/>
    </row>
    <row r="511" spans="1:9" s="54" customFormat="1" ht="11.4" customHeight="1" x14ac:dyDescent="0.3">
      <c r="A511" s="33"/>
      <c r="B511" s="33"/>
      <c r="C511" s="33"/>
      <c r="D511" s="33"/>
      <c r="E511" s="33"/>
      <c r="F511" s="33"/>
      <c r="G511" s="33"/>
      <c r="H511" s="33"/>
      <c r="I511" s="33"/>
    </row>
    <row r="512" spans="1:9" s="54" customFormat="1" ht="11.4" customHeight="1" x14ac:dyDescent="0.3">
      <c r="A512" s="33"/>
      <c r="B512" s="33"/>
      <c r="C512" s="33"/>
      <c r="D512" s="33"/>
      <c r="E512" s="33"/>
      <c r="F512" s="33"/>
      <c r="G512" s="33"/>
      <c r="H512" s="33"/>
      <c r="I512" s="33"/>
    </row>
    <row r="513" spans="1:9" s="54" customFormat="1" ht="11.4" customHeight="1" x14ac:dyDescent="0.3">
      <c r="A513" s="33"/>
      <c r="B513" s="33"/>
      <c r="C513" s="33"/>
      <c r="D513" s="33"/>
      <c r="E513" s="33"/>
      <c r="F513" s="33"/>
      <c r="G513" s="33"/>
      <c r="H513" s="33"/>
      <c r="I513" s="33"/>
    </row>
    <row r="514" spans="1:9" s="54" customFormat="1" ht="11.4" customHeight="1" x14ac:dyDescent="0.3">
      <c r="A514" s="33"/>
      <c r="B514" s="33"/>
      <c r="C514" s="33"/>
      <c r="D514" s="33"/>
      <c r="E514" s="33"/>
      <c r="F514" s="33"/>
      <c r="G514" s="33"/>
      <c r="H514" s="33"/>
      <c r="I514" s="33"/>
    </row>
    <row r="515" spans="1:9" s="54" customFormat="1" ht="11.4" customHeight="1" x14ac:dyDescent="0.3">
      <c r="A515" s="33"/>
      <c r="B515" s="33"/>
      <c r="C515" s="33"/>
      <c r="D515" s="33"/>
      <c r="E515" s="33"/>
      <c r="F515" s="33"/>
      <c r="G515" s="33"/>
      <c r="H515" s="33"/>
      <c r="I515" s="33"/>
    </row>
    <row r="516" spans="1:9" s="54" customFormat="1" ht="11.4" customHeight="1" x14ac:dyDescent="0.3">
      <c r="A516" s="33"/>
      <c r="B516" s="33"/>
      <c r="C516" s="33"/>
      <c r="D516" s="33"/>
      <c r="E516" s="33"/>
      <c r="F516" s="33"/>
      <c r="G516" s="33"/>
      <c r="H516" s="33"/>
      <c r="I516" s="33"/>
    </row>
    <row r="517" spans="1:9" s="54" customFormat="1" ht="11.4" customHeight="1" x14ac:dyDescent="0.3">
      <c r="A517" s="33"/>
      <c r="B517" s="33"/>
      <c r="C517" s="33"/>
      <c r="D517" s="33"/>
      <c r="E517" s="33"/>
      <c r="F517" s="33"/>
      <c r="G517" s="33"/>
      <c r="H517" s="33"/>
      <c r="I517" s="33"/>
    </row>
    <row r="518" spans="1:9" s="54" customFormat="1" ht="11.4" customHeight="1" x14ac:dyDescent="0.3">
      <c r="A518" s="33"/>
      <c r="B518" s="33"/>
      <c r="C518" s="33"/>
      <c r="D518" s="33"/>
      <c r="E518" s="33"/>
      <c r="F518" s="33"/>
      <c r="G518" s="33"/>
      <c r="H518" s="33"/>
      <c r="I518" s="33"/>
    </row>
    <row r="519" spans="1:9" s="54" customFormat="1" ht="11.4" customHeight="1" x14ac:dyDescent="0.3">
      <c r="A519" s="33"/>
      <c r="B519" s="33"/>
      <c r="C519" s="33"/>
      <c r="D519" s="33"/>
      <c r="E519" s="33"/>
      <c r="F519" s="33"/>
      <c r="G519" s="33"/>
      <c r="H519" s="33"/>
      <c r="I519" s="33"/>
    </row>
    <row r="520" spans="1:9" s="54" customFormat="1" ht="11.4" customHeight="1" x14ac:dyDescent="0.3">
      <c r="A520" s="33"/>
      <c r="B520" s="33"/>
      <c r="C520" s="33"/>
      <c r="D520" s="33"/>
      <c r="E520" s="33"/>
      <c r="F520" s="33"/>
      <c r="G520" s="33"/>
      <c r="H520" s="33"/>
      <c r="I520" s="33"/>
    </row>
    <row r="521" spans="1:9" s="54" customFormat="1" ht="11.4" customHeight="1" x14ac:dyDescent="0.3">
      <c r="A521" s="33"/>
      <c r="B521" s="33"/>
      <c r="C521" s="33"/>
      <c r="D521" s="33"/>
      <c r="E521" s="33"/>
      <c r="F521" s="33"/>
      <c r="G521" s="33"/>
      <c r="H521" s="33"/>
      <c r="I521" s="33"/>
    </row>
    <row r="522" spans="1:9" s="54" customFormat="1" ht="11.4" customHeight="1" x14ac:dyDescent="0.3">
      <c r="A522" s="33"/>
      <c r="B522" s="33"/>
      <c r="C522" s="33"/>
      <c r="D522" s="33"/>
      <c r="E522" s="33"/>
      <c r="F522" s="33"/>
      <c r="G522" s="33"/>
      <c r="H522" s="33"/>
      <c r="I522" s="33"/>
    </row>
    <row r="523" spans="1:9" s="54" customFormat="1" ht="11.4" customHeight="1" x14ac:dyDescent="0.3">
      <c r="A523" s="33"/>
      <c r="B523" s="33"/>
      <c r="C523" s="33"/>
      <c r="D523" s="33"/>
      <c r="E523" s="33"/>
      <c r="F523" s="33"/>
      <c r="G523" s="33"/>
      <c r="H523" s="33"/>
      <c r="I523" s="33"/>
    </row>
    <row r="524" spans="1:9" s="54" customFormat="1" ht="11.4" customHeight="1" x14ac:dyDescent="0.3">
      <c r="A524" s="33"/>
      <c r="B524" s="33"/>
      <c r="C524" s="33"/>
      <c r="D524" s="33"/>
      <c r="E524" s="33"/>
      <c r="F524" s="33"/>
      <c r="G524" s="33"/>
      <c r="H524" s="33"/>
      <c r="I524" s="33"/>
    </row>
    <row r="525" spans="1:9" s="54" customFormat="1" ht="11.4" customHeight="1" x14ac:dyDescent="0.3">
      <c r="A525" s="33"/>
      <c r="B525" s="33"/>
      <c r="C525" s="33"/>
      <c r="D525" s="33"/>
      <c r="E525" s="33"/>
      <c r="F525" s="33"/>
      <c r="G525" s="33"/>
      <c r="H525" s="33"/>
      <c r="I525" s="33"/>
    </row>
    <row r="526" spans="1:9" s="54" customFormat="1" ht="11.4" customHeight="1" x14ac:dyDescent="0.3">
      <c r="A526" s="33"/>
      <c r="B526" s="33"/>
      <c r="C526" s="33"/>
      <c r="D526" s="33"/>
      <c r="E526" s="33"/>
      <c r="F526" s="33"/>
      <c r="G526" s="33"/>
      <c r="H526" s="33"/>
      <c r="I526" s="33"/>
    </row>
    <row r="527" spans="1:9" s="54" customFormat="1" ht="11.4" customHeight="1" x14ac:dyDescent="0.3">
      <c r="A527" s="33"/>
      <c r="B527" s="33"/>
      <c r="C527" s="33"/>
      <c r="D527" s="33"/>
      <c r="E527" s="33"/>
      <c r="F527" s="33"/>
      <c r="G527" s="33"/>
      <c r="H527" s="33"/>
      <c r="I527" s="33"/>
    </row>
    <row r="528" spans="1:9" s="54" customFormat="1" ht="11.4" customHeight="1" x14ac:dyDescent="0.3">
      <c r="A528" s="33"/>
      <c r="B528" s="33"/>
      <c r="C528" s="33"/>
      <c r="D528" s="33"/>
      <c r="E528" s="33"/>
      <c r="F528" s="33"/>
      <c r="G528" s="33"/>
      <c r="H528" s="33"/>
      <c r="I528" s="33"/>
    </row>
    <row r="529" spans="1:9" s="54" customFormat="1" ht="11.4" customHeight="1" x14ac:dyDescent="0.3">
      <c r="A529" s="33"/>
      <c r="B529" s="33"/>
      <c r="C529" s="33"/>
      <c r="D529" s="33"/>
      <c r="E529" s="33"/>
      <c r="F529" s="33"/>
      <c r="G529" s="33"/>
      <c r="H529" s="33"/>
      <c r="I529" s="33"/>
    </row>
    <row r="530" spans="1:9" s="54" customFormat="1" ht="11.4" customHeight="1" x14ac:dyDescent="0.3">
      <c r="A530" s="33"/>
      <c r="B530" s="33"/>
      <c r="C530" s="33"/>
      <c r="D530" s="33"/>
      <c r="E530" s="33"/>
      <c r="F530" s="33"/>
      <c r="G530" s="33"/>
      <c r="H530" s="33"/>
      <c r="I530" s="33"/>
    </row>
    <row r="531" spans="1:9" s="54" customFormat="1" ht="11.4" customHeight="1" x14ac:dyDescent="0.3">
      <c r="A531" s="33"/>
      <c r="B531" s="33"/>
      <c r="C531" s="33"/>
      <c r="D531" s="33"/>
      <c r="E531" s="33"/>
      <c r="F531" s="33"/>
      <c r="G531" s="33"/>
      <c r="H531" s="33"/>
      <c r="I531" s="33"/>
    </row>
    <row r="532" spans="1:9" s="54" customFormat="1" ht="11.4" customHeight="1" x14ac:dyDescent="0.3">
      <c r="A532" s="33"/>
      <c r="B532" s="33"/>
      <c r="C532" s="33"/>
      <c r="D532" s="33"/>
      <c r="E532" s="33"/>
      <c r="F532" s="33"/>
      <c r="G532" s="33"/>
      <c r="H532" s="33"/>
      <c r="I532" s="33"/>
    </row>
    <row r="533" spans="1:9" s="54" customFormat="1" ht="11.4" customHeight="1" x14ac:dyDescent="0.3">
      <c r="A533" s="33"/>
      <c r="B533" s="33"/>
      <c r="C533" s="33"/>
      <c r="D533" s="33"/>
      <c r="E533" s="33"/>
      <c r="F533" s="33"/>
      <c r="G533" s="33"/>
      <c r="H533" s="33"/>
      <c r="I533" s="33"/>
    </row>
    <row r="534" spans="1:9" s="54" customFormat="1" ht="11.4" customHeight="1" x14ac:dyDescent="0.3">
      <c r="A534" s="33"/>
      <c r="B534" s="33"/>
      <c r="C534" s="33"/>
      <c r="D534" s="33"/>
      <c r="E534" s="33"/>
      <c r="F534" s="33"/>
      <c r="G534" s="33"/>
      <c r="H534" s="33"/>
      <c r="I534" s="33"/>
    </row>
    <row r="535" spans="1:9" s="54" customFormat="1" ht="11.4" customHeight="1" x14ac:dyDescent="0.3">
      <c r="A535" s="33"/>
      <c r="B535" s="33"/>
      <c r="C535" s="33"/>
      <c r="D535" s="33"/>
      <c r="E535" s="33"/>
      <c r="F535" s="33"/>
      <c r="G535" s="33"/>
      <c r="H535" s="33"/>
      <c r="I535" s="33"/>
    </row>
    <row r="536" spans="1:9" s="54" customFormat="1" ht="11.4" customHeight="1" x14ac:dyDescent="0.3">
      <c r="A536" s="33"/>
      <c r="B536" s="33"/>
      <c r="C536" s="33"/>
      <c r="D536" s="33"/>
      <c r="E536" s="33"/>
      <c r="F536" s="33"/>
      <c r="G536" s="33"/>
      <c r="H536" s="33"/>
      <c r="I536" s="33"/>
    </row>
    <row r="537" spans="1:9" s="54" customFormat="1" ht="11.4" customHeight="1" x14ac:dyDescent="0.3">
      <c r="A537" s="33"/>
      <c r="B537" s="33"/>
      <c r="C537" s="33"/>
      <c r="D537" s="33"/>
      <c r="E537" s="33"/>
      <c r="F537" s="33"/>
      <c r="G537" s="33"/>
      <c r="H537" s="33"/>
      <c r="I537" s="33"/>
    </row>
    <row r="538" spans="1:9" s="54" customFormat="1" ht="11.4" customHeight="1" x14ac:dyDescent="0.3">
      <c r="A538" s="33"/>
      <c r="B538" s="33"/>
      <c r="C538" s="33"/>
      <c r="D538" s="33"/>
      <c r="E538" s="33"/>
      <c r="F538" s="33"/>
      <c r="G538" s="33"/>
      <c r="H538" s="33"/>
      <c r="I538" s="33"/>
    </row>
    <row r="539" spans="1:9" s="54" customFormat="1" ht="11.4" customHeight="1" x14ac:dyDescent="0.3">
      <c r="A539" s="33"/>
      <c r="B539" s="33"/>
      <c r="C539" s="33"/>
      <c r="D539" s="33"/>
      <c r="E539" s="33"/>
      <c r="F539" s="33"/>
      <c r="G539" s="33"/>
      <c r="H539" s="33"/>
      <c r="I539" s="33"/>
    </row>
    <row r="540" spans="1:9" s="54" customFormat="1" ht="11.4" customHeight="1" x14ac:dyDescent="0.3">
      <c r="A540" s="33"/>
      <c r="B540" s="33"/>
      <c r="C540" s="33"/>
      <c r="D540" s="33"/>
      <c r="E540" s="33"/>
      <c r="F540" s="33"/>
      <c r="G540" s="33"/>
      <c r="H540" s="33"/>
      <c r="I540" s="33"/>
    </row>
    <row r="541" spans="1:9" s="54" customFormat="1" ht="11.4" customHeight="1" x14ac:dyDescent="0.3">
      <c r="A541" s="33"/>
      <c r="B541" s="33"/>
      <c r="C541" s="33"/>
      <c r="D541" s="33"/>
      <c r="E541" s="33"/>
      <c r="F541" s="33"/>
      <c r="G541" s="33"/>
      <c r="H541" s="33"/>
      <c r="I541" s="33"/>
    </row>
    <row r="542" spans="1:9" s="54" customFormat="1" ht="11.4" customHeight="1" x14ac:dyDescent="0.3">
      <c r="A542" s="33"/>
      <c r="B542" s="33"/>
      <c r="C542" s="33"/>
      <c r="D542" s="33"/>
      <c r="E542" s="33"/>
      <c r="F542" s="33"/>
      <c r="G542" s="33"/>
      <c r="H542" s="33"/>
      <c r="I542" s="33"/>
    </row>
    <row r="543" spans="1:9" s="54" customFormat="1" ht="11.4" customHeight="1" x14ac:dyDescent="0.3">
      <c r="A543" s="33"/>
      <c r="B543" s="33"/>
      <c r="C543" s="33"/>
      <c r="D543" s="33"/>
      <c r="E543" s="33"/>
      <c r="F543" s="33"/>
      <c r="G543" s="33"/>
      <c r="H543" s="33"/>
      <c r="I543" s="33"/>
    </row>
    <row r="544" spans="1:9" s="54" customFormat="1" ht="11.4" customHeight="1" x14ac:dyDescent="0.3">
      <c r="A544" s="33"/>
      <c r="B544" s="33"/>
      <c r="C544" s="33"/>
      <c r="D544" s="33"/>
      <c r="E544" s="33"/>
      <c r="F544" s="33"/>
      <c r="G544" s="33"/>
      <c r="H544" s="33"/>
      <c r="I544" s="33"/>
    </row>
    <row r="545" spans="1:9" s="54" customFormat="1" ht="11.4" customHeight="1" x14ac:dyDescent="0.3">
      <c r="A545" s="33"/>
      <c r="B545" s="33"/>
      <c r="C545" s="33"/>
      <c r="D545" s="33"/>
      <c r="E545" s="33"/>
      <c r="F545" s="33"/>
      <c r="G545" s="33"/>
      <c r="H545" s="33"/>
      <c r="I545" s="33"/>
    </row>
    <row r="546" spans="1:9" s="54" customFormat="1" ht="11.4" customHeight="1" x14ac:dyDescent="0.3">
      <c r="A546" s="33"/>
      <c r="B546" s="33"/>
      <c r="C546" s="33"/>
      <c r="D546" s="33"/>
      <c r="E546" s="33"/>
      <c r="F546" s="33"/>
      <c r="G546" s="33"/>
      <c r="H546" s="33"/>
      <c r="I546" s="33"/>
    </row>
    <row r="547" spans="1:9" s="54" customFormat="1" ht="11.4" customHeight="1" x14ac:dyDescent="0.3">
      <c r="A547" s="33"/>
      <c r="B547" s="33"/>
      <c r="C547" s="33"/>
      <c r="D547" s="33"/>
      <c r="E547" s="33"/>
      <c r="F547" s="33"/>
      <c r="G547" s="33"/>
      <c r="H547" s="33"/>
      <c r="I547" s="33"/>
    </row>
    <row r="548" spans="1:9" s="54" customFormat="1" ht="11.4" customHeight="1" x14ac:dyDescent="0.3">
      <c r="A548" s="33"/>
      <c r="B548" s="33"/>
      <c r="C548" s="33"/>
      <c r="D548" s="33"/>
      <c r="E548" s="33"/>
      <c r="F548" s="33"/>
      <c r="G548" s="33"/>
      <c r="H548" s="33"/>
      <c r="I548" s="33"/>
    </row>
    <row r="549" spans="1:9" s="54" customFormat="1" ht="11.4" customHeight="1" x14ac:dyDescent="0.3">
      <c r="A549" s="33"/>
      <c r="B549" s="33"/>
      <c r="C549" s="33"/>
      <c r="D549" s="33"/>
      <c r="E549" s="33"/>
      <c r="F549" s="33"/>
      <c r="G549" s="33"/>
      <c r="H549" s="33"/>
      <c r="I549" s="33"/>
    </row>
    <row r="550" spans="1:9" s="54" customFormat="1" ht="11.4" customHeight="1" x14ac:dyDescent="0.3">
      <c r="A550" s="33"/>
      <c r="B550" s="33"/>
      <c r="C550" s="33"/>
      <c r="D550" s="33"/>
      <c r="E550" s="33"/>
      <c r="F550" s="33"/>
      <c r="G550" s="33"/>
      <c r="H550" s="33"/>
      <c r="I550" s="33"/>
    </row>
    <row r="551" spans="1:9" s="54" customFormat="1" ht="11.4" customHeight="1" x14ac:dyDescent="0.3">
      <c r="A551" s="33"/>
      <c r="B551" s="33"/>
      <c r="C551" s="33"/>
      <c r="D551" s="33"/>
      <c r="E551" s="33"/>
      <c r="F551" s="33"/>
      <c r="G551" s="33"/>
      <c r="H551" s="33"/>
      <c r="I551" s="33"/>
    </row>
    <row r="552" spans="1:9" s="54" customFormat="1" ht="11.4" customHeight="1" x14ac:dyDescent="0.3">
      <c r="A552" s="33"/>
      <c r="B552" s="33"/>
      <c r="C552" s="33"/>
      <c r="D552" s="33"/>
      <c r="E552" s="33"/>
      <c r="F552" s="33"/>
      <c r="G552" s="33"/>
      <c r="H552" s="33"/>
      <c r="I552" s="33"/>
    </row>
    <row r="553" spans="1:9" s="54" customFormat="1" ht="11.4" customHeight="1" x14ac:dyDescent="0.3">
      <c r="A553" s="33"/>
      <c r="B553" s="33"/>
      <c r="C553" s="33"/>
      <c r="D553" s="33"/>
      <c r="E553" s="33"/>
      <c r="F553" s="33"/>
      <c r="G553" s="33"/>
      <c r="H553" s="33"/>
      <c r="I553" s="33"/>
    </row>
    <row r="554" spans="1:9" s="54" customFormat="1" ht="11.4" customHeight="1" x14ac:dyDescent="0.3">
      <c r="A554" s="33"/>
      <c r="B554" s="33"/>
      <c r="C554" s="33"/>
      <c r="D554" s="33"/>
      <c r="E554" s="33"/>
      <c r="F554" s="33"/>
      <c r="G554" s="33"/>
      <c r="H554" s="33"/>
      <c r="I554" s="33"/>
    </row>
    <row r="555" spans="1:9" s="54" customFormat="1" ht="11.4" customHeight="1" x14ac:dyDescent="0.3">
      <c r="A555" s="33"/>
      <c r="B555" s="33"/>
      <c r="C555" s="33"/>
      <c r="D555" s="33"/>
      <c r="E555" s="33"/>
      <c r="F555" s="33"/>
      <c r="G555" s="33"/>
      <c r="H555" s="33"/>
      <c r="I555" s="33"/>
    </row>
    <row r="556" spans="1:9" s="54" customFormat="1" ht="11.4" customHeight="1" x14ac:dyDescent="0.3">
      <c r="A556" s="33"/>
      <c r="B556" s="33"/>
      <c r="C556" s="33"/>
      <c r="D556" s="33"/>
      <c r="E556" s="33"/>
      <c r="F556" s="33"/>
      <c r="G556" s="33"/>
      <c r="H556" s="33"/>
      <c r="I556" s="33"/>
    </row>
    <row r="557" spans="1:9" s="54" customFormat="1" ht="11.4" customHeight="1" x14ac:dyDescent="0.3">
      <c r="A557" s="33"/>
      <c r="B557" s="33"/>
      <c r="C557" s="33"/>
      <c r="D557" s="33"/>
      <c r="E557" s="33"/>
      <c r="F557" s="33"/>
      <c r="G557" s="33"/>
      <c r="H557" s="33"/>
      <c r="I557" s="33"/>
    </row>
    <row r="558" spans="1:9" s="54" customFormat="1" ht="11.4" customHeight="1" x14ac:dyDescent="0.3">
      <c r="A558" s="33"/>
      <c r="B558" s="33"/>
      <c r="C558" s="33"/>
      <c r="D558" s="33"/>
      <c r="E558" s="33"/>
      <c r="F558" s="33"/>
      <c r="G558" s="33"/>
      <c r="H558" s="33"/>
      <c r="I558" s="33"/>
    </row>
    <row r="559" spans="1:9" s="54" customFormat="1" ht="11.4" customHeight="1" x14ac:dyDescent="0.3">
      <c r="A559" s="33"/>
      <c r="B559" s="33"/>
      <c r="C559" s="33"/>
      <c r="D559" s="33"/>
      <c r="E559" s="33"/>
      <c r="F559" s="33"/>
      <c r="G559" s="33"/>
      <c r="H559" s="33"/>
      <c r="I559" s="33"/>
    </row>
    <row r="560" spans="1:9" s="54" customFormat="1" ht="11.4" customHeight="1" x14ac:dyDescent="0.3">
      <c r="A560" s="33"/>
      <c r="B560" s="33"/>
      <c r="C560" s="33"/>
      <c r="D560" s="33"/>
      <c r="E560" s="33"/>
      <c r="F560" s="33"/>
      <c r="G560" s="33"/>
      <c r="H560" s="33"/>
      <c r="I560" s="33"/>
    </row>
    <row r="561" spans="1:9" s="54" customFormat="1" ht="11.4" customHeight="1" x14ac:dyDescent="0.3">
      <c r="A561" s="33"/>
      <c r="B561" s="33"/>
      <c r="C561" s="33"/>
      <c r="D561" s="33"/>
      <c r="E561" s="33"/>
      <c r="F561" s="33"/>
      <c r="G561" s="33"/>
      <c r="H561" s="33"/>
      <c r="I561" s="33"/>
    </row>
    <row r="562" spans="1:9" s="54" customFormat="1" ht="11.4" customHeight="1" x14ac:dyDescent="0.3">
      <c r="A562" s="33"/>
      <c r="B562" s="33"/>
      <c r="C562" s="33"/>
      <c r="D562" s="33"/>
      <c r="E562" s="33"/>
      <c r="F562" s="33"/>
      <c r="G562" s="33"/>
      <c r="H562" s="33"/>
      <c r="I562" s="33"/>
    </row>
    <row r="563" spans="1:9" s="54" customFormat="1" ht="11.4" customHeight="1" x14ac:dyDescent="0.3">
      <c r="A563" s="33"/>
      <c r="B563" s="33"/>
      <c r="C563" s="33"/>
      <c r="D563" s="33"/>
      <c r="E563" s="33"/>
      <c r="F563" s="33"/>
      <c r="G563" s="33"/>
      <c r="H563" s="33"/>
      <c r="I563" s="33"/>
    </row>
    <row r="564" spans="1:9" s="54" customFormat="1" ht="11.4" customHeight="1" x14ac:dyDescent="0.3">
      <c r="A564" s="33"/>
      <c r="B564" s="33"/>
      <c r="C564" s="33"/>
      <c r="D564" s="33"/>
      <c r="E564" s="33"/>
      <c r="F564" s="33"/>
      <c r="G564" s="33"/>
      <c r="H564" s="33"/>
      <c r="I564" s="33"/>
    </row>
    <row r="565" spans="1:9" s="54" customFormat="1" ht="11.4" customHeight="1" x14ac:dyDescent="0.3">
      <c r="A565" s="33"/>
      <c r="B565" s="33"/>
      <c r="C565" s="33"/>
      <c r="D565" s="33"/>
      <c r="E565" s="33"/>
      <c r="F565" s="33"/>
      <c r="G565" s="33"/>
      <c r="H565" s="33"/>
      <c r="I565" s="33"/>
    </row>
    <row r="566" spans="1:9" s="54" customFormat="1" ht="11.4" customHeight="1" x14ac:dyDescent="0.3">
      <c r="A566" s="33"/>
      <c r="B566" s="33"/>
      <c r="C566" s="33"/>
      <c r="D566" s="33"/>
      <c r="E566" s="33"/>
      <c r="F566" s="33"/>
      <c r="G566" s="33"/>
      <c r="H566" s="33"/>
      <c r="I566" s="33"/>
    </row>
    <row r="567" spans="1:9" s="54" customFormat="1" ht="11.4" customHeight="1" x14ac:dyDescent="0.3">
      <c r="A567" s="33"/>
      <c r="B567" s="33"/>
      <c r="C567" s="33"/>
      <c r="D567" s="33"/>
      <c r="E567" s="33"/>
      <c r="F567" s="33"/>
      <c r="G567" s="33"/>
      <c r="H567" s="33"/>
      <c r="I567" s="33"/>
    </row>
    <row r="568" spans="1:9" s="54" customFormat="1" ht="11.4" customHeight="1" x14ac:dyDescent="0.3">
      <c r="A568" s="33"/>
      <c r="B568" s="33"/>
      <c r="C568" s="33"/>
      <c r="D568" s="33"/>
      <c r="E568" s="33"/>
      <c r="F568" s="33"/>
      <c r="G568" s="33"/>
      <c r="H568" s="33"/>
      <c r="I568" s="33"/>
    </row>
    <row r="569" spans="1:9" s="54" customFormat="1" ht="11.4" customHeight="1" x14ac:dyDescent="0.3">
      <c r="A569" s="33"/>
      <c r="B569" s="33"/>
      <c r="C569" s="33"/>
      <c r="D569" s="33"/>
      <c r="E569" s="33"/>
      <c r="F569" s="33"/>
      <c r="G569" s="33"/>
      <c r="H569" s="33"/>
      <c r="I569" s="33"/>
    </row>
    <row r="570" spans="1:9" s="54" customFormat="1" ht="11.4" customHeight="1" x14ac:dyDescent="0.3">
      <c r="A570" s="33"/>
      <c r="B570" s="33"/>
      <c r="C570" s="33"/>
      <c r="D570" s="33"/>
      <c r="E570" s="33"/>
      <c r="F570" s="33"/>
      <c r="G570" s="33"/>
      <c r="H570" s="33"/>
      <c r="I570" s="33"/>
    </row>
    <row r="571" spans="1:9" s="54" customFormat="1" ht="11.4" customHeight="1" x14ac:dyDescent="0.3">
      <c r="A571" s="33"/>
      <c r="B571" s="33"/>
      <c r="C571" s="33"/>
      <c r="D571" s="33"/>
      <c r="E571" s="33"/>
      <c r="F571" s="33"/>
      <c r="G571" s="33"/>
      <c r="H571" s="33"/>
      <c r="I571" s="33"/>
    </row>
    <row r="572" spans="1:9" s="54" customFormat="1" ht="11.4" customHeight="1" x14ac:dyDescent="0.3">
      <c r="A572" s="33"/>
      <c r="B572" s="33"/>
      <c r="C572" s="33"/>
      <c r="D572" s="33"/>
      <c r="E572" s="33"/>
      <c r="F572" s="33"/>
      <c r="G572" s="33"/>
      <c r="H572" s="33"/>
      <c r="I572" s="33"/>
    </row>
    <row r="573" spans="1:9" s="54" customFormat="1" ht="11.4" customHeight="1" x14ac:dyDescent="0.3">
      <c r="A573" s="33"/>
      <c r="B573" s="33"/>
      <c r="C573" s="33"/>
      <c r="D573" s="33"/>
      <c r="E573" s="33"/>
      <c r="F573" s="33"/>
      <c r="G573" s="33"/>
      <c r="H573" s="33"/>
      <c r="I573" s="33"/>
    </row>
    <row r="574" spans="1:9" s="54" customFormat="1" ht="11.4" customHeight="1" x14ac:dyDescent="0.3">
      <c r="A574" s="33"/>
      <c r="B574" s="33"/>
      <c r="C574" s="33"/>
      <c r="D574" s="33"/>
      <c r="E574" s="33"/>
      <c r="F574" s="33"/>
      <c r="G574" s="33"/>
      <c r="H574" s="33"/>
      <c r="I574" s="33"/>
    </row>
    <row r="575" spans="1:9" s="54" customFormat="1" ht="11.4" customHeight="1" x14ac:dyDescent="0.3">
      <c r="A575" s="33"/>
      <c r="B575" s="33"/>
      <c r="C575" s="33"/>
      <c r="D575" s="33"/>
      <c r="E575" s="33"/>
      <c r="F575" s="33"/>
      <c r="G575" s="33"/>
      <c r="H575" s="33"/>
      <c r="I575" s="33"/>
    </row>
    <row r="576" spans="1:9" s="54" customFormat="1" ht="11.4" customHeight="1" x14ac:dyDescent="0.3">
      <c r="A576" s="33"/>
      <c r="B576" s="33"/>
      <c r="C576" s="33"/>
      <c r="D576" s="33"/>
      <c r="E576" s="33"/>
      <c r="F576" s="33"/>
      <c r="G576" s="33"/>
      <c r="H576" s="33"/>
      <c r="I576" s="33"/>
    </row>
    <row r="577" spans="1:9" s="54" customFormat="1" ht="11.4" customHeight="1" x14ac:dyDescent="0.3">
      <c r="A577" s="33"/>
      <c r="B577" s="33"/>
      <c r="C577" s="33"/>
      <c r="D577" s="33"/>
      <c r="E577" s="33"/>
      <c r="F577" s="33"/>
      <c r="G577" s="33"/>
      <c r="H577" s="33"/>
      <c r="I577" s="33"/>
    </row>
    <row r="578" spans="1:9" s="54" customFormat="1" ht="11.4" customHeight="1" x14ac:dyDescent="0.3">
      <c r="A578" s="33"/>
      <c r="B578" s="33"/>
      <c r="C578" s="33"/>
      <c r="D578" s="33"/>
      <c r="E578" s="33"/>
      <c r="F578" s="33"/>
      <c r="G578" s="33"/>
      <c r="H578" s="33"/>
      <c r="I578" s="33"/>
    </row>
    <row r="579" spans="1:9" s="54" customFormat="1" ht="11.4" customHeight="1" x14ac:dyDescent="0.3">
      <c r="A579" s="33"/>
      <c r="B579" s="33"/>
      <c r="C579" s="33"/>
      <c r="D579" s="33"/>
      <c r="E579" s="33"/>
      <c r="F579" s="33"/>
      <c r="G579" s="33"/>
      <c r="H579" s="33"/>
      <c r="I579" s="33"/>
    </row>
    <row r="580" spans="1:9" s="54" customFormat="1" ht="11.4" customHeight="1" x14ac:dyDescent="0.3">
      <c r="A580" s="33"/>
      <c r="B580" s="33"/>
      <c r="C580" s="33"/>
      <c r="D580" s="33"/>
      <c r="E580" s="33"/>
      <c r="F580" s="33"/>
      <c r="G580" s="33"/>
      <c r="H580" s="33"/>
      <c r="I580" s="33"/>
    </row>
    <row r="581" spans="1:9" s="54" customFormat="1" ht="11.4" customHeight="1" x14ac:dyDescent="0.3">
      <c r="A581" s="33"/>
      <c r="B581" s="33"/>
      <c r="C581" s="33"/>
      <c r="D581" s="33"/>
      <c r="E581" s="33"/>
      <c r="F581" s="33"/>
      <c r="G581" s="33"/>
      <c r="H581" s="33"/>
      <c r="I581" s="33"/>
    </row>
    <row r="582" spans="1:9" s="54" customFormat="1" ht="11.4" customHeight="1" x14ac:dyDescent="0.3">
      <c r="A582" s="33"/>
      <c r="B582" s="33"/>
      <c r="C582" s="33"/>
      <c r="D582" s="33"/>
      <c r="E582" s="33"/>
      <c r="F582" s="33"/>
      <c r="G582" s="33"/>
      <c r="H582" s="33"/>
      <c r="I582" s="33"/>
    </row>
    <row r="583" spans="1:9" s="54" customFormat="1" ht="11.4" customHeight="1" x14ac:dyDescent="0.3">
      <c r="A583" s="33"/>
      <c r="B583" s="33"/>
      <c r="C583" s="33"/>
      <c r="D583" s="33"/>
      <c r="E583" s="33"/>
      <c r="F583" s="33"/>
      <c r="G583" s="33"/>
      <c r="H583" s="33"/>
      <c r="I583" s="33"/>
    </row>
    <row r="584" spans="1:9" s="54" customFormat="1" ht="11.4" customHeight="1" x14ac:dyDescent="0.3">
      <c r="A584" s="33"/>
      <c r="B584" s="33"/>
      <c r="C584" s="33"/>
      <c r="D584" s="33"/>
      <c r="E584" s="33"/>
      <c r="F584" s="33"/>
      <c r="G584" s="33"/>
      <c r="H584" s="33"/>
      <c r="I584" s="33"/>
    </row>
    <row r="585" spans="1:9" s="54" customFormat="1" ht="11.4" customHeight="1" x14ac:dyDescent="0.3">
      <c r="A585" s="33"/>
      <c r="B585" s="33"/>
      <c r="C585" s="33"/>
      <c r="D585" s="33"/>
      <c r="E585" s="33"/>
      <c r="F585" s="33"/>
      <c r="G585" s="33"/>
      <c r="H585" s="33"/>
      <c r="I585" s="33"/>
    </row>
    <row r="586" spans="1:9" s="54" customFormat="1" ht="11.4" customHeight="1" x14ac:dyDescent="0.3">
      <c r="A586" s="33"/>
      <c r="B586" s="33"/>
      <c r="C586" s="33"/>
      <c r="D586" s="33"/>
      <c r="E586" s="33"/>
      <c r="F586" s="33"/>
      <c r="G586" s="33"/>
      <c r="H586" s="33"/>
      <c r="I586" s="33"/>
    </row>
    <row r="587" spans="1:9" s="54" customFormat="1" ht="11.4" customHeight="1" x14ac:dyDescent="0.3">
      <c r="A587" s="33"/>
      <c r="B587" s="33"/>
      <c r="C587" s="33"/>
      <c r="D587" s="33"/>
      <c r="E587" s="33"/>
      <c r="F587" s="33"/>
      <c r="G587" s="33"/>
      <c r="H587" s="33"/>
      <c r="I587" s="33"/>
    </row>
    <row r="588" spans="1:9" s="54" customFormat="1" ht="11.4" customHeight="1" x14ac:dyDescent="0.3">
      <c r="A588" s="33"/>
      <c r="B588" s="33"/>
      <c r="C588" s="33"/>
      <c r="D588" s="33"/>
      <c r="E588" s="33"/>
      <c r="F588" s="33"/>
      <c r="G588" s="33"/>
      <c r="H588" s="33"/>
      <c r="I588" s="33"/>
    </row>
    <row r="589" spans="1:9" s="54" customFormat="1" ht="11.4" customHeight="1" x14ac:dyDescent="0.3">
      <c r="A589" s="33"/>
      <c r="B589" s="33"/>
      <c r="C589" s="33"/>
      <c r="D589" s="33"/>
      <c r="E589" s="33"/>
      <c r="F589" s="33"/>
      <c r="G589" s="33"/>
      <c r="H589" s="33"/>
      <c r="I589" s="33"/>
    </row>
    <row r="590" spans="1:9" s="54" customFormat="1" ht="11.4" customHeight="1" x14ac:dyDescent="0.3">
      <c r="A590" s="33"/>
      <c r="B590" s="33"/>
      <c r="C590" s="33"/>
      <c r="D590" s="33"/>
      <c r="E590" s="33"/>
      <c r="F590" s="33"/>
      <c r="G590" s="33"/>
      <c r="H590" s="33"/>
      <c r="I590" s="33"/>
    </row>
    <row r="591" spans="1:9" s="54" customFormat="1" ht="11.4" customHeight="1" x14ac:dyDescent="0.3">
      <c r="A591" s="33"/>
      <c r="B591" s="33"/>
      <c r="C591" s="33"/>
      <c r="D591" s="33"/>
      <c r="E591" s="33"/>
      <c r="F591" s="33"/>
      <c r="G591" s="33"/>
      <c r="H591" s="33"/>
      <c r="I591" s="33"/>
    </row>
    <row r="592" spans="1:9" s="54" customFormat="1" ht="11.4" customHeight="1" x14ac:dyDescent="0.3">
      <c r="A592" s="33"/>
      <c r="B592" s="33"/>
      <c r="C592" s="33"/>
      <c r="D592" s="33"/>
      <c r="E592" s="33"/>
      <c r="F592" s="33"/>
      <c r="G592" s="33"/>
      <c r="H592" s="33"/>
      <c r="I592" s="33"/>
    </row>
    <row r="593" spans="1:9" s="54" customFormat="1" ht="11.4" customHeight="1" x14ac:dyDescent="0.3">
      <c r="A593" s="33"/>
      <c r="B593" s="33"/>
      <c r="C593" s="33"/>
      <c r="D593" s="33"/>
      <c r="E593" s="33"/>
      <c r="F593" s="33"/>
      <c r="G593" s="33"/>
      <c r="H593" s="33"/>
      <c r="I593" s="33"/>
    </row>
    <row r="594" spans="1:9" s="54" customFormat="1" ht="11.4" customHeight="1" x14ac:dyDescent="0.3">
      <c r="A594" s="33"/>
      <c r="B594" s="33"/>
      <c r="C594" s="33"/>
      <c r="D594" s="33"/>
      <c r="E594" s="33"/>
      <c r="F594" s="33"/>
      <c r="G594" s="33"/>
      <c r="H594" s="33"/>
      <c r="I594" s="33"/>
    </row>
    <row r="595" spans="1:9" s="54" customFormat="1" ht="11.4" customHeight="1" x14ac:dyDescent="0.3">
      <c r="A595" s="33"/>
      <c r="B595" s="33"/>
      <c r="C595" s="33"/>
      <c r="D595" s="33"/>
      <c r="E595" s="33"/>
      <c r="F595" s="33"/>
      <c r="G595" s="33"/>
      <c r="H595" s="33"/>
      <c r="I595" s="33"/>
    </row>
    <row r="596" spans="1:9" s="54" customFormat="1" ht="11.4" customHeight="1" x14ac:dyDescent="0.3">
      <c r="A596" s="33"/>
      <c r="B596" s="33"/>
      <c r="C596" s="33"/>
      <c r="D596" s="33"/>
      <c r="E596" s="33"/>
      <c r="F596" s="33"/>
      <c r="G596" s="33"/>
      <c r="H596" s="33"/>
      <c r="I596" s="33"/>
    </row>
    <row r="597" spans="1:9" s="54" customFormat="1" ht="11.4" customHeight="1" x14ac:dyDescent="0.3">
      <c r="A597" s="33"/>
      <c r="B597" s="33"/>
      <c r="C597" s="33"/>
      <c r="D597" s="33"/>
      <c r="E597" s="33"/>
      <c r="F597" s="33"/>
      <c r="G597" s="33"/>
      <c r="H597" s="33"/>
      <c r="I597" s="33"/>
    </row>
    <row r="598" spans="1:9" s="54" customFormat="1" ht="11.4" customHeight="1" x14ac:dyDescent="0.3">
      <c r="A598" s="33"/>
      <c r="B598" s="33"/>
      <c r="C598" s="33"/>
      <c r="D598" s="33"/>
      <c r="E598" s="33"/>
      <c r="F598" s="33"/>
      <c r="G598" s="33"/>
      <c r="H598" s="33"/>
      <c r="I598" s="33"/>
    </row>
    <row r="599" spans="1:9" s="54" customFormat="1" ht="11.4" customHeight="1" x14ac:dyDescent="0.3">
      <c r="A599" s="33"/>
      <c r="B599" s="33"/>
      <c r="C599" s="33"/>
      <c r="D599" s="33"/>
      <c r="E599" s="33"/>
      <c r="F599" s="33"/>
      <c r="G599" s="33"/>
      <c r="H599" s="33"/>
      <c r="I599" s="33"/>
    </row>
    <row r="600" spans="1:9" s="54" customFormat="1" ht="11.4" customHeight="1" x14ac:dyDescent="0.3">
      <c r="A600" s="33"/>
      <c r="B600" s="33"/>
      <c r="C600" s="33"/>
      <c r="D600" s="33"/>
      <c r="E600" s="33"/>
      <c r="F600" s="33"/>
      <c r="G600" s="33"/>
      <c r="H600" s="33"/>
      <c r="I600" s="33"/>
    </row>
    <row r="601" spans="1:9" s="54" customFormat="1" ht="11.4" customHeight="1" x14ac:dyDescent="0.3">
      <c r="A601" s="33"/>
      <c r="B601" s="33"/>
      <c r="C601" s="33"/>
      <c r="D601" s="33"/>
      <c r="E601" s="33"/>
      <c r="F601" s="33"/>
      <c r="G601" s="33"/>
      <c r="H601" s="33"/>
      <c r="I601" s="33"/>
    </row>
    <row r="602" spans="1:9" s="54" customFormat="1" ht="11.4" customHeight="1" x14ac:dyDescent="0.3">
      <c r="A602" s="33"/>
      <c r="B602" s="33"/>
      <c r="C602" s="33"/>
      <c r="D602" s="33"/>
      <c r="E602" s="33"/>
      <c r="F602" s="33"/>
      <c r="G602" s="33"/>
      <c r="H602" s="33"/>
      <c r="I602" s="33"/>
    </row>
    <row r="603" spans="1:9" s="54" customFormat="1" ht="11.4" customHeight="1" x14ac:dyDescent="0.3">
      <c r="A603" s="33"/>
      <c r="B603" s="33"/>
      <c r="C603" s="33"/>
      <c r="D603" s="33"/>
      <c r="E603" s="33"/>
      <c r="F603" s="33"/>
      <c r="G603" s="33"/>
      <c r="H603" s="33"/>
      <c r="I603" s="33"/>
    </row>
    <row r="604" spans="1:9" s="54" customFormat="1" ht="11.4" customHeight="1" x14ac:dyDescent="0.3">
      <c r="A604" s="33"/>
      <c r="B604" s="33"/>
      <c r="C604" s="33"/>
      <c r="D604" s="33"/>
      <c r="E604" s="33"/>
      <c r="F604" s="33"/>
      <c r="G604" s="33"/>
      <c r="H604" s="33"/>
      <c r="I604" s="33"/>
    </row>
    <row r="605" spans="1:9" s="54" customFormat="1" ht="11.4" customHeight="1" x14ac:dyDescent="0.3">
      <c r="A605" s="33"/>
      <c r="B605" s="33"/>
      <c r="C605" s="33"/>
      <c r="D605" s="33"/>
      <c r="E605" s="33"/>
      <c r="F605" s="33"/>
      <c r="G605" s="33"/>
      <c r="H605" s="33"/>
      <c r="I605" s="33"/>
    </row>
    <row r="606" spans="1:9" s="54" customFormat="1" ht="11.4" customHeight="1" x14ac:dyDescent="0.3">
      <c r="A606" s="33"/>
      <c r="B606" s="33"/>
      <c r="C606" s="33"/>
      <c r="D606" s="33"/>
      <c r="E606" s="33"/>
      <c r="F606" s="33"/>
      <c r="G606" s="33"/>
      <c r="H606" s="33"/>
      <c r="I606" s="33"/>
    </row>
    <row r="607" spans="1:9" s="54" customFormat="1" ht="11.4" customHeight="1" x14ac:dyDescent="0.3">
      <c r="A607" s="33"/>
      <c r="B607" s="33"/>
      <c r="C607" s="33"/>
      <c r="D607" s="33"/>
      <c r="E607" s="33"/>
      <c r="F607" s="33"/>
      <c r="G607" s="33"/>
      <c r="H607" s="33"/>
      <c r="I607" s="33"/>
    </row>
    <row r="608" spans="1:9" s="54" customFormat="1" ht="11.4" customHeight="1" x14ac:dyDescent="0.3">
      <c r="A608" s="33"/>
      <c r="B608" s="33"/>
      <c r="C608" s="33"/>
      <c r="D608" s="33"/>
      <c r="E608" s="33"/>
      <c r="F608" s="33"/>
      <c r="G608" s="33"/>
      <c r="H608" s="33"/>
      <c r="I608" s="33"/>
    </row>
    <row r="609" spans="1:9" s="54" customFormat="1" ht="11.4" customHeight="1" x14ac:dyDescent="0.3">
      <c r="A609" s="33"/>
      <c r="B609" s="33"/>
      <c r="C609" s="33"/>
      <c r="D609" s="33"/>
      <c r="E609" s="33"/>
      <c r="F609" s="33"/>
      <c r="G609" s="33"/>
      <c r="H609" s="33"/>
      <c r="I609" s="33"/>
    </row>
    <row r="610" spans="1:9" s="54" customFormat="1" ht="11.4" customHeight="1" x14ac:dyDescent="0.3">
      <c r="A610" s="33"/>
      <c r="B610" s="33"/>
      <c r="C610" s="33"/>
      <c r="D610" s="33"/>
      <c r="E610" s="33"/>
      <c r="F610" s="33"/>
      <c r="G610" s="33"/>
      <c r="H610" s="33"/>
      <c r="I610" s="33"/>
    </row>
    <row r="611" spans="1:9" s="54" customFormat="1" ht="11.4" customHeight="1" x14ac:dyDescent="0.3">
      <c r="A611" s="33"/>
      <c r="B611" s="33"/>
      <c r="C611" s="33"/>
      <c r="D611" s="33"/>
      <c r="E611" s="33"/>
      <c r="F611" s="33"/>
      <c r="G611" s="33"/>
      <c r="H611" s="33"/>
      <c r="I611" s="33"/>
    </row>
    <row r="612" spans="1:9" s="54" customFormat="1" ht="11.4" customHeight="1" x14ac:dyDescent="0.3">
      <c r="A612" s="33"/>
      <c r="B612" s="33"/>
      <c r="C612" s="33"/>
      <c r="D612" s="33"/>
      <c r="E612" s="33"/>
      <c r="F612" s="33"/>
      <c r="G612" s="33"/>
      <c r="H612" s="33"/>
      <c r="I612" s="33"/>
    </row>
    <row r="613" spans="1:9" s="54" customFormat="1" ht="11.4" customHeight="1" x14ac:dyDescent="0.3">
      <c r="A613" s="33"/>
      <c r="B613" s="33"/>
      <c r="C613" s="33"/>
      <c r="D613" s="33"/>
      <c r="E613" s="33"/>
      <c r="F613" s="33"/>
      <c r="G613" s="33"/>
      <c r="H613" s="33"/>
      <c r="I613" s="33"/>
    </row>
    <row r="614" spans="1:9" s="54" customFormat="1" ht="11.4" customHeight="1" x14ac:dyDescent="0.3">
      <c r="A614" s="33"/>
      <c r="B614" s="33"/>
      <c r="C614" s="33"/>
      <c r="D614" s="33"/>
      <c r="E614" s="33"/>
      <c r="F614" s="33"/>
      <c r="G614" s="33"/>
      <c r="H614" s="33"/>
      <c r="I614" s="33"/>
    </row>
    <row r="615" spans="1:9" s="54" customFormat="1" ht="11.4" customHeight="1" x14ac:dyDescent="0.3">
      <c r="A615" s="33"/>
      <c r="B615" s="33"/>
      <c r="C615" s="33"/>
      <c r="D615" s="33"/>
      <c r="E615" s="33"/>
      <c r="F615" s="33"/>
      <c r="G615" s="33"/>
      <c r="H615" s="33"/>
      <c r="I615" s="33"/>
    </row>
    <row r="616" spans="1:9" s="54" customFormat="1" ht="11.4" customHeight="1" x14ac:dyDescent="0.3">
      <c r="A616" s="33"/>
      <c r="B616" s="33"/>
      <c r="C616" s="33"/>
      <c r="D616" s="33"/>
      <c r="E616" s="33"/>
      <c r="F616" s="33"/>
      <c r="G616" s="33"/>
      <c r="H616" s="33"/>
      <c r="I616" s="33"/>
    </row>
    <row r="617" spans="1:9" s="54" customFormat="1" ht="11.4" customHeight="1" x14ac:dyDescent="0.3">
      <c r="A617" s="33"/>
      <c r="B617" s="33"/>
      <c r="C617" s="33"/>
      <c r="D617" s="33"/>
      <c r="E617" s="33"/>
      <c r="F617" s="33"/>
      <c r="G617" s="33"/>
      <c r="H617" s="33"/>
      <c r="I617" s="33"/>
    </row>
    <row r="618" spans="1:9" s="54" customFormat="1" ht="11.4" customHeight="1" x14ac:dyDescent="0.3">
      <c r="A618" s="33"/>
      <c r="B618" s="33"/>
      <c r="C618" s="33"/>
      <c r="D618" s="33"/>
      <c r="E618" s="33"/>
      <c r="F618" s="33"/>
      <c r="G618" s="33"/>
      <c r="H618" s="33"/>
      <c r="I618" s="33"/>
    </row>
    <row r="619" spans="1:9" s="54" customFormat="1" ht="11.4" customHeight="1" x14ac:dyDescent="0.3">
      <c r="A619" s="33"/>
      <c r="B619" s="33"/>
      <c r="C619" s="33"/>
      <c r="D619" s="33"/>
      <c r="E619" s="33"/>
      <c r="F619" s="33"/>
      <c r="G619" s="33"/>
      <c r="H619" s="33"/>
      <c r="I619" s="33"/>
    </row>
    <row r="620" spans="1:9" s="54" customFormat="1" ht="11.4" customHeight="1" x14ac:dyDescent="0.3">
      <c r="A620" s="33"/>
      <c r="B620" s="33"/>
      <c r="C620" s="33"/>
      <c r="D620" s="33"/>
      <c r="E620" s="33"/>
      <c r="F620" s="33"/>
      <c r="G620" s="33"/>
      <c r="H620" s="33"/>
      <c r="I620" s="33"/>
    </row>
    <row r="621" spans="1:9" s="54" customFormat="1" ht="11.4" customHeight="1" x14ac:dyDescent="0.3">
      <c r="A621" s="33"/>
      <c r="B621" s="33"/>
      <c r="C621" s="33"/>
      <c r="D621" s="33"/>
      <c r="E621" s="33"/>
      <c r="F621" s="33"/>
      <c r="G621" s="33"/>
      <c r="H621" s="33"/>
      <c r="I621" s="33"/>
    </row>
    <row r="622" spans="1:9" s="54" customFormat="1" ht="11.4" customHeight="1" x14ac:dyDescent="0.3">
      <c r="A622" s="33"/>
      <c r="B622" s="33"/>
      <c r="C622" s="33"/>
      <c r="D622" s="33"/>
      <c r="E622" s="33"/>
      <c r="F622" s="33"/>
      <c r="G622" s="33"/>
      <c r="H622" s="33"/>
      <c r="I622" s="33"/>
    </row>
    <row r="623" spans="1:9" s="54" customFormat="1" ht="11.4" customHeight="1" x14ac:dyDescent="0.3">
      <c r="A623" s="33"/>
      <c r="B623" s="33"/>
      <c r="C623" s="33"/>
      <c r="D623" s="33"/>
      <c r="E623" s="33"/>
      <c r="F623" s="33"/>
      <c r="G623" s="33"/>
      <c r="H623" s="33"/>
      <c r="I623" s="33"/>
    </row>
    <row r="624" spans="1:9" s="54" customFormat="1" ht="11.4" customHeight="1" x14ac:dyDescent="0.3">
      <c r="A624" s="33"/>
      <c r="B624" s="33"/>
      <c r="C624" s="33"/>
      <c r="D624" s="33"/>
      <c r="E624" s="33"/>
      <c r="F624" s="33"/>
      <c r="G624" s="33"/>
      <c r="H624" s="33"/>
      <c r="I624" s="33"/>
    </row>
    <row r="625" spans="1:9" s="54" customFormat="1" ht="11.4" customHeight="1" x14ac:dyDescent="0.3">
      <c r="A625" s="33"/>
      <c r="B625" s="33"/>
      <c r="C625" s="33"/>
      <c r="D625" s="33"/>
      <c r="E625" s="33"/>
      <c r="F625" s="33"/>
      <c r="G625" s="33"/>
      <c r="H625" s="33"/>
      <c r="I625" s="33"/>
    </row>
    <row r="626" spans="1:9" s="54" customFormat="1" ht="11.4" customHeight="1" x14ac:dyDescent="0.3">
      <c r="A626" s="33"/>
      <c r="B626" s="33"/>
      <c r="C626" s="33"/>
      <c r="D626" s="33"/>
      <c r="E626" s="33"/>
      <c r="F626" s="33"/>
      <c r="G626" s="33"/>
      <c r="H626" s="33"/>
      <c r="I626" s="33"/>
    </row>
    <row r="627" spans="1:9" s="54" customFormat="1" ht="11.4" customHeight="1" x14ac:dyDescent="0.3">
      <c r="A627" s="33"/>
      <c r="B627" s="33"/>
      <c r="C627" s="33"/>
      <c r="D627" s="33"/>
      <c r="E627" s="33"/>
      <c r="F627" s="33"/>
      <c r="G627" s="33"/>
      <c r="H627" s="33"/>
      <c r="I627" s="33"/>
    </row>
    <row r="628" spans="1:9" s="54" customFormat="1" ht="11.4" customHeight="1" x14ac:dyDescent="0.3">
      <c r="A628" s="33"/>
      <c r="B628" s="33"/>
      <c r="C628" s="33"/>
      <c r="D628" s="33"/>
      <c r="E628" s="33"/>
      <c r="F628" s="33"/>
      <c r="G628" s="33"/>
      <c r="H628" s="33"/>
      <c r="I628" s="33"/>
    </row>
    <row r="629" spans="1:9" s="54" customFormat="1" ht="11.4" customHeight="1" x14ac:dyDescent="0.3">
      <c r="A629" s="33"/>
      <c r="B629" s="33"/>
      <c r="C629" s="33"/>
      <c r="D629" s="33"/>
      <c r="E629" s="33"/>
      <c r="F629" s="33"/>
      <c r="G629" s="33"/>
      <c r="H629" s="33"/>
      <c r="I629" s="33"/>
    </row>
    <row r="630" spans="1:9" s="54" customFormat="1" ht="11.4" customHeight="1" x14ac:dyDescent="0.3">
      <c r="A630" s="33"/>
      <c r="B630" s="33"/>
      <c r="C630" s="33"/>
      <c r="D630" s="33"/>
      <c r="E630" s="33"/>
      <c r="F630" s="33"/>
      <c r="G630" s="33"/>
      <c r="H630" s="33"/>
      <c r="I630" s="33"/>
    </row>
    <row r="631" spans="1:9" s="54" customFormat="1" ht="11.4" customHeight="1" x14ac:dyDescent="0.3">
      <c r="A631" s="33"/>
      <c r="B631" s="33"/>
      <c r="C631" s="33"/>
      <c r="D631" s="33"/>
      <c r="E631" s="33"/>
      <c r="F631" s="33"/>
      <c r="G631" s="33"/>
      <c r="H631" s="33"/>
      <c r="I631" s="33"/>
    </row>
    <row r="632" spans="1:9" s="54" customFormat="1" ht="11.4" customHeight="1" x14ac:dyDescent="0.3">
      <c r="A632" s="33"/>
      <c r="B632" s="33"/>
      <c r="C632" s="33"/>
      <c r="D632" s="33"/>
      <c r="E632" s="33"/>
      <c r="F632" s="33"/>
      <c r="G632" s="33"/>
      <c r="H632" s="33"/>
      <c r="I632" s="33"/>
    </row>
    <row r="633" spans="1:9" s="54" customFormat="1" ht="11.4" customHeight="1" x14ac:dyDescent="0.3">
      <c r="A633" s="33"/>
      <c r="B633" s="33"/>
      <c r="C633" s="33"/>
      <c r="D633" s="33"/>
      <c r="E633" s="33"/>
      <c r="F633" s="33"/>
      <c r="G633" s="33"/>
      <c r="H633" s="33"/>
      <c r="I633" s="33"/>
    </row>
    <row r="634" spans="1:9" s="54" customFormat="1" ht="11.4" customHeight="1" x14ac:dyDescent="0.3">
      <c r="A634" s="33"/>
      <c r="B634" s="33"/>
      <c r="C634" s="33"/>
      <c r="D634" s="33"/>
      <c r="E634" s="33"/>
      <c r="F634" s="33"/>
      <c r="G634" s="33"/>
      <c r="H634" s="33"/>
      <c r="I634" s="33"/>
    </row>
    <row r="635" spans="1:9" s="54" customFormat="1" ht="11.4" customHeight="1" x14ac:dyDescent="0.3">
      <c r="A635" s="33"/>
      <c r="B635" s="33"/>
      <c r="C635" s="33"/>
      <c r="D635" s="33"/>
      <c r="E635" s="33"/>
      <c r="F635" s="33"/>
      <c r="G635" s="33"/>
      <c r="H635" s="33"/>
      <c r="I635" s="33"/>
    </row>
    <row r="636" spans="1:9" s="54" customFormat="1" ht="11.4" customHeight="1" x14ac:dyDescent="0.3">
      <c r="A636" s="33"/>
      <c r="B636" s="33"/>
      <c r="C636" s="33"/>
      <c r="D636" s="33"/>
      <c r="E636" s="33"/>
      <c r="F636" s="33"/>
      <c r="G636" s="33"/>
      <c r="H636" s="33"/>
      <c r="I636" s="33"/>
    </row>
    <row r="637" spans="1:9" s="54" customFormat="1" ht="11.4" customHeight="1" x14ac:dyDescent="0.3">
      <c r="A637" s="33"/>
      <c r="B637" s="33"/>
      <c r="C637" s="33"/>
      <c r="D637" s="33"/>
      <c r="E637" s="33"/>
      <c r="F637" s="33"/>
      <c r="G637" s="33"/>
      <c r="H637" s="33"/>
      <c r="I637" s="33"/>
    </row>
    <row r="638" spans="1:9" s="54" customFormat="1" ht="11.4" customHeight="1" x14ac:dyDescent="0.3">
      <c r="A638" s="33"/>
      <c r="B638" s="33"/>
      <c r="C638" s="33"/>
      <c r="D638" s="33"/>
      <c r="E638" s="33"/>
      <c r="F638" s="33"/>
      <c r="G638" s="33"/>
      <c r="H638" s="33"/>
      <c r="I638" s="33"/>
    </row>
    <row r="639" spans="1:9" s="54" customFormat="1" ht="11.4" customHeight="1" x14ac:dyDescent="0.3">
      <c r="A639" s="33"/>
      <c r="B639" s="33"/>
      <c r="C639" s="33"/>
      <c r="D639" s="33"/>
      <c r="E639" s="33"/>
      <c r="F639" s="33"/>
      <c r="G639" s="33"/>
      <c r="H639" s="33"/>
      <c r="I639" s="33"/>
    </row>
    <row r="640" spans="1:9" s="54" customFormat="1" ht="11.4" customHeight="1" x14ac:dyDescent="0.3">
      <c r="A640" s="33"/>
      <c r="B640" s="33"/>
      <c r="C640" s="33"/>
      <c r="D640" s="33"/>
      <c r="E640" s="33"/>
      <c r="F640" s="33"/>
      <c r="G640" s="33"/>
      <c r="H640" s="33"/>
      <c r="I640" s="33"/>
    </row>
    <row r="641" spans="1:9" s="54" customFormat="1" ht="11.4" customHeight="1" x14ac:dyDescent="0.3">
      <c r="A641" s="33"/>
      <c r="B641" s="33"/>
      <c r="C641" s="33"/>
      <c r="D641" s="33"/>
      <c r="E641" s="33"/>
      <c r="F641" s="33"/>
      <c r="G641" s="33"/>
      <c r="H641" s="33"/>
      <c r="I641" s="33"/>
    </row>
    <row r="642" spans="1:9" s="54" customFormat="1" ht="11.4" customHeight="1" x14ac:dyDescent="0.3">
      <c r="A642" s="33"/>
      <c r="B642" s="33"/>
      <c r="C642" s="33"/>
      <c r="D642" s="33"/>
      <c r="E642" s="33"/>
      <c r="F642" s="33"/>
      <c r="G642" s="33"/>
      <c r="H642" s="33"/>
      <c r="I642" s="33"/>
    </row>
    <row r="643" spans="1:9" s="54" customFormat="1" ht="11.4" customHeight="1" x14ac:dyDescent="0.3">
      <c r="A643" s="33"/>
      <c r="B643" s="33"/>
      <c r="C643" s="33"/>
      <c r="D643" s="33"/>
      <c r="E643" s="33"/>
      <c r="F643" s="33"/>
      <c r="G643" s="33"/>
      <c r="H643" s="33"/>
      <c r="I643" s="33"/>
    </row>
    <row r="644" spans="1:9" s="54" customFormat="1" ht="11.4" customHeight="1" x14ac:dyDescent="0.3">
      <c r="A644" s="33"/>
      <c r="B644" s="33"/>
      <c r="C644" s="33"/>
      <c r="D644" s="33"/>
      <c r="E644" s="33"/>
      <c r="F644" s="33"/>
      <c r="G644" s="33"/>
      <c r="H644" s="33"/>
      <c r="I644" s="33"/>
    </row>
    <row r="645" spans="1:9" s="54" customFormat="1" ht="11.4" customHeight="1" x14ac:dyDescent="0.3">
      <c r="A645" s="33"/>
      <c r="B645" s="33"/>
      <c r="C645" s="33"/>
      <c r="D645" s="33"/>
      <c r="E645" s="33"/>
      <c r="F645" s="33"/>
      <c r="G645" s="33"/>
      <c r="H645" s="33"/>
      <c r="I645" s="33"/>
    </row>
    <row r="646" spans="1:9" s="54" customFormat="1" ht="11.4" customHeight="1" x14ac:dyDescent="0.3">
      <c r="A646" s="33"/>
      <c r="B646" s="33"/>
      <c r="C646" s="33"/>
      <c r="D646" s="33"/>
      <c r="E646" s="33"/>
      <c r="F646" s="33"/>
      <c r="G646" s="33"/>
      <c r="H646" s="33"/>
      <c r="I646" s="33"/>
    </row>
    <row r="647" spans="1:9" s="54" customFormat="1" ht="11.4" customHeight="1" x14ac:dyDescent="0.3">
      <c r="A647" s="33"/>
      <c r="B647" s="33"/>
      <c r="C647" s="33"/>
      <c r="D647" s="33"/>
      <c r="E647" s="33"/>
      <c r="F647" s="33"/>
      <c r="G647" s="33"/>
      <c r="H647" s="33"/>
      <c r="I647" s="33"/>
    </row>
    <row r="648" spans="1:9" s="54" customFormat="1" ht="11.4" customHeight="1" x14ac:dyDescent="0.3">
      <c r="A648" s="33"/>
      <c r="B648" s="33"/>
      <c r="C648" s="33"/>
      <c r="D648" s="33"/>
      <c r="E648" s="33"/>
      <c r="F648" s="33"/>
      <c r="G648" s="33"/>
      <c r="H648" s="33"/>
      <c r="I648" s="33"/>
    </row>
    <row r="649" spans="1:9" s="54" customFormat="1" ht="11.4" customHeight="1" x14ac:dyDescent="0.3">
      <c r="A649" s="33"/>
      <c r="B649" s="33"/>
      <c r="C649" s="33"/>
      <c r="D649" s="33"/>
      <c r="E649" s="33"/>
      <c r="F649" s="33"/>
      <c r="G649" s="33"/>
      <c r="H649" s="33"/>
      <c r="I649" s="33"/>
    </row>
    <row r="650" spans="1:9" s="54" customFormat="1" ht="11.4" customHeight="1" x14ac:dyDescent="0.3">
      <c r="A650" s="33"/>
      <c r="B650" s="33"/>
      <c r="C650" s="33"/>
      <c r="D650" s="33"/>
      <c r="E650" s="33"/>
      <c r="F650" s="33"/>
      <c r="G650" s="33"/>
      <c r="H650" s="33"/>
      <c r="I650" s="33"/>
    </row>
    <row r="651" spans="1:9" s="54" customFormat="1" ht="11.4" customHeight="1" x14ac:dyDescent="0.3">
      <c r="A651" s="33"/>
      <c r="B651" s="33"/>
      <c r="C651" s="33"/>
      <c r="D651" s="33"/>
      <c r="E651" s="33"/>
      <c r="F651" s="33"/>
      <c r="G651" s="33"/>
      <c r="H651" s="33"/>
      <c r="I651" s="33"/>
    </row>
    <row r="652" spans="1:9" s="54" customFormat="1" ht="11.4" customHeight="1" x14ac:dyDescent="0.3">
      <c r="A652" s="33"/>
      <c r="B652" s="33"/>
      <c r="C652" s="33"/>
      <c r="D652" s="33"/>
      <c r="E652" s="33"/>
      <c r="F652" s="33"/>
      <c r="G652" s="33"/>
      <c r="H652" s="33"/>
      <c r="I652" s="33"/>
    </row>
    <row r="653" spans="1:9" s="54" customFormat="1" ht="11.4" customHeight="1" x14ac:dyDescent="0.3">
      <c r="A653" s="33"/>
      <c r="B653" s="33"/>
      <c r="C653" s="33"/>
      <c r="D653" s="33"/>
      <c r="E653" s="33"/>
      <c r="F653" s="33"/>
      <c r="G653" s="33"/>
      <c r="H653" s="33"/>
      <c r="I653" s="33"/>
    </row>
    <row r="654" spans="1:9" s="54" customFormat="1" ht="11.4" customHeight="1" x14ac:dyDescent="0.3">
      <c r="A654" s="33"/>
      <c r="B654" s="33"/>
      <c r="C654" s="33"/>
      <c r="D654" s="33"/>
      <c r="E654" s="33"/>
      <c r="F654" s="33"/>
      <c r="G654" s="33"/>
      <c r="H654" s="33"/>
      <c r="I654" s="33"/>
    </row>
    <row r="655" spans="1:9" s="54" customFormat="1" ht="11.4" customHeight="1" x14ac:dyDescent="0.3">
      <c r="A655" s="33"/>
      <c r="B655" s="33"/>
      <c r="C655" s="33"/>
      <c r="D655" s="33"/>
      <c r="E655" s="33"/>
      <c r="F655" s="33"/>
      <c r="G655" s="33"/>
      <c r="H655" s="33"/>
      <c r="I655" s="33"/>
    </row>
    <row r="656" spans="1:9" s="54" customFormat="1" ht="11.4" customHeight="1" x14ac:dyDescent="0.3">
      <c r="A656" s="33"/>
      <c r="B656" s="33"/>
      <c r="C656" s="33"/>
      <c r="D656" s="33"/>
      <c r="E656" s="33"/>
      <c r="F656" s="33"/>
      <c r="G656" s="33"/>
      <c r="H656" s="33"/>
      <c r="I656" s="33"/>
    </row>
    <row r="657" spans="1:9" s="54" customFormat="1" ht="11.4" customHeight="1" x14ac:dyDescent="0.3">
      <c r="A657" s="33"/>
      <c r="B657" s="33"/>
      <c r="C657" s="33"/>
      <c r="D657" s="33"/>
      <c r="E657" s="33"/>
      <c r="F657" s="33"/>
      <c r="G657" s="33"/>
      <c r="H657" s="33"/>
      <c r="I657" s="33"/>
    </row>
    <row r="658" spans="1:9" s="54" customFormat="1" ht="11.4" customHeight="1" x14ac:dyDescent="0.3">
      <c r="A658" s="33"/>
      <c r="B658" s="33"/>
      <c r="C658" s="33"/>
      <c r="D658" s="33"/>
      <c r="E658" s="33"/>
      <c r="F658" s="33"/>
      <c r="G658" s="33"/>
      <c r="H658" s="33"/>
      <c r="I658" s="33"/>
    </row>
    <row r="659" spans="1:9" s="54" customFormat="1" ht="11.4" customHeight="1" x14ac:dyDescent="0.3">
      <c r="A659" s="33"/>
      <c r="B659" s="33"/>
      <c r="C659" s="33"/>
      <c r="D659" s="33"/>
      <c r="E659" s="33"/>
      <c r="F659" s="33"/>
      <c r="G659" s="33"/>
      <c r="H659" s="33"/>
      <c r="I659" s="33"/>
    </row>
    <row r="660" spans="1:9" s="54" customFormat="1" ht="11.4" customHeight="1" x14ac:dyDescent="0.3">
      <c r="A660" s="33"/>
      <c r="B660" s="33"/>
      <c r="C660" s="33"/>
      <c r="D660" s="33"/>
      <c r="E660" s="33"/>
      <c r="F660" s="33"/>
      <c r="G660" s="33"/>
      <c r="H660" s="33"/>
      <c r="I660" s="33"/>
    </row>
    <row r="661" spans="1:9" s="54" customFormat="1" ht="11.4" customHeight="1" x14ac:dyDescent="0.3">
      <c r="A661" s="33"/>
      <c r="B661" s="33"/>
      <c r="C661" s="33"/>
      <c r="D661" s="33"/>
      <c r="E661" s="33"/>
      <c r="F661" s="33"/>
      <c r="G661" s="33"/>
      <c r="H661" s="33"/>
      <c r="I661" s="33"/>
    </row>
    <row r="662" spans="1:9" s="54" customFormat="1" ht="11.4" customHeight="1" x14ac:dyDescent="0.3">
      <c r="A662" s="33"/>
      <c r="B662" s="33"/>
      <c r="C662" s="33"/>
      <c r="D662" s="33"/>
      <c r="E662" s="33"/>
      <c r="F662" s="33"/>
      <c r="G662" s="33"/>
      <c r="H662" s="33"/>
      <c r="I662" s="33"/>
    </row>
    <row r="663" spans="1:9" s="54" customFormat="1" ht="11.4" customHeight="1" x14ac:dyDescent="0.3">
      <c r="A663" s="33"/>
      <c r="B663" s="33"/>
      <c r="C663" s="33"/>
      <c r="D663" s="33"/>
      <c r="E663" s="33"/>
      <c r="F663" s="33"/>
      <c r="G663" s="33"/>
      <c r="H663" s="33"/>
      <c r="I663" s="33"/>
    </row>
    <row r="664" spans="1:9" s="54" customFormat="1" ht="11.4" customHeight="1" x14ac:dyDescent="0.3">
      <c r="A664" s="33"/>
      <c r="B664" s="33"/>
      <c r="C664" s="33"/>
      <c r="D664" s="33"/>
      <c r="E664" s="33"/>
      <c r="F664" s="33"/>
      <c r="G664" s="33"/>
      <c r="H664" s="33"/>
      <c r="I664" s="33"/>
    </row>
    <row r="665" spans="1:9" s="54" customFormat="1" ht="11.4" customHeight="1" x14ac:dyDescent="0.3">
      <c r="A665" s="33"/>
      <c r="B665" s="33"/>
      <c r="C665" s="33"/>
      <c r="D665" s="33"/>
      <c r="E665" s="33"/>
      <c r="F665" s="33"/>
      <c r="G665" s="33"/>
      <c r="H665" s="33"/>
      <c r="I665" s="33"/>
    </row>
    <row r="666" spans="1:9" s="54" customFormat="1" ht="11.4" customHeight="1" x14ac:dyDescent="0.3">
      <c r="A666" s="33"/>
      <c r="B666" s="33"/>
      <c r="C666" s="33"/>
      <c r="D666" s="33"/>
      <c r="E666" s="33"/>
      <c r="F666" s="33"/>
      <c r="G666" s="33"/>
      <c r="H666" s="33"/>
      <c r="I666" s="33"/>
    </row>
    <row r="667" spans="1:9" s="54" customFormat="1" ht="11.4" customHeight="1" x14ac:dyDescent="0.3">
      <c r="A667" s="33"/>
      <c r="B667" s="33"/>
      <c r="C667" s="33"/>
      <c r="D667" s="33"/>
      <c r="E667" s="33"/>
      <c r="F667" s="33"/>
      <c r="G667" s="33"/>
      <c r="H667" s="33"/>
      <c r="I667" s="33"/>
    </row>
    <row r="668" spans="1:9" s="54" customFormat="1" ht="11.4" customHeight="1" x14ac:dyDescent="0.3">
      <c r="A668" s="33"/>
      <c r="B668" s="33"/>
      <c r="C668" s="33"/>
      <c r="D668" s="33"/>
      <c r="E668" s="33"/>
      <c r="F668" s="33"/>
      <c r="G668" s="33"/>
      <c r="H668" s="33"/>
      <c r="I668" s="33"/>
    </row>
    <row r="669" spans="1:9" s="54" customFormat="1" ht="11.4" customHeight="1" x14ac:dyDescent="0.3">
      <c r="A669" s="33"/>
      <c r="B669" s="33"/>
      <c r="C669" s="33"/>
      <c r="D669" s="33"/>
      <c r="E669" s="33"/>
      <c r="F669" s="33"/>
      <c r="G669" s="33"/>
      <c r="H669" s="33"/>
      <c r="I669" s="33"/>
    </row>
    <row r="670" spans="1:9" s="54" customFormat="1" ht="11.4" customHeight="1" x14ac:dyDescent="0.3">
      <c r="A670" s="33"/>
      <c r="B670" s="33"/>
      <c r="C670" s="33"/>
      <c r="D670" s="33"/>
      <c r="E670" s="33"/>
      <c r="F670" s="33"/>
      <c r="G670" s="33"/>
      <c r="H670" s="33"/>
      <c r="I670" s="33"/>
    </row>
    <row r="671" spans="1:9" s="54" customFormat="1" ht="11.4" customHeight="1" x14ac:dyDescent="0.3">
      <c r="A671" s="33"/>
      <c r="B671" s="33"/>
      <c r="C671" s="33"/>
      <c r="D671" s="33"/>
      <c r="E671" s="33"/>
      <c r="F671" s="33"/>
      <c r="G671" s="33"/>
      <c r="H671" s="33"/>
      <c r="I671" s="33"/>
    </row>
    <row r="672" spans="1:9" s="54" customFormat="1" ht="11.4" customHeight="1" x14ac:dyDescent="0.3">
      <c r="A672" s="33"/>
      <c r="B672" s="33"/>
      <c r="C672" s="33"/>
      <c r="D672" s="33"/>
      <c r="E672" s="33"/>
      <c r="F672" s="33"/>
      <c r="G672" s="33"/>
      <c r="H672" s="33"/>
      <c r="I672" s="33"/>
    </row>
    <row r="673" spans="1:9" s="54" customFormat="1" ht="11.4" customHeight="1" x14ac:dyDescent="0.3">
      <c r="A673" s="33"/>
      <c r="B673" s="33"/>
      <c r="C673" s="33"/>
      <c r="D673" s="33"/>
      <c r="E673" s="33"/>
      <c r="F673" s="33"/>
      <c r="G673" s="33"/>
      <c r="H673" s="33"/>
      <c r="I673" s="33"/>
    </row>
    <row r="674" spans="1:9" s="54" customFormat="1" ht="11.4" customHeight="1" x14ac:dyDescent="0.3">
      <c r="A674" s="33"/>
      <c r="B674" s="33"/>
      <c r="C674" s="33"/>
      <c r="D674" s="33"/>
      <c r="E674" s="33"/>
      <c r="F674" s="33"/>
      <c r="G674" s="33"/>
      <c r="H674" s="33"/>
      <c r="I674" s="33"/>
    </row>
    <row r="675" spans="1:9" s="54" customFormat="1" ht="11.4" customHeight="1" x14ac:dyDescent="0.3">
      <c r="A675" s="33"/>
      <c r="B675" s="33"/>
      <c r="C675" s="33"/>
      <c r="D675" s="33"/>
      <c r="E675" s="33"/>
      <c r="F675" s="33"/>
      <c r="G675" s="33"/>
      <c r="H675" s="33"/>
      <c r="I675" s="33"/>
    </row>
    <row r="676" spans="1:9" s="54" customFormat="1" ht="11.4" customHeight="1" x14ac:dyDescent="0.3">
      <c r="A676" s="33"/>
      <c r="B676" s="33"/>
      <c r="C676" s="33"/>
      <c r="D676" s="33"/>
      <c r="E676" s="33"/>
      <c r="F676" s="33"/>
      <c r="G676" s="33"/>
      <c r="H676" s="33"/>
      <c r="I676" s="33"/>
    </row>
    <row r="677" spans="1:9" s="54" customFormat="1" ht="11.4" customHeight="1" x14ac:dyDescent="0.3">
      <c r="A677" s="33"/>
      <c r="B677" s="33"/>
      <c r="C677" s="33"/>
      <c r="D677" s="33"/>
      <c r="E677" s="33"/>
      <c r="F677" s="33"/>
      <c r="G677" s="33"/>
      <c r="H677" s="33"/>
      <c r="I677" s="33"/>
    </row>
    <row r="678" spans="1:9" s="54" customFormat="1" ht="11.4" customHeight="1" x14ac:dyDescent="0.3">
      <c r="A678" s="33"/>
      <c r="B678" s="33"/>
      <c r="C678" s="33"/>
      <c r="D678" s="33"/>
      <c r="E678" s="33"/>
      <c r="F678" s="33"/>
      <c r="G678" s="33"/>
      <c r="H678" s="33"/>
      <c r="I678" s="33"/>
    </row>
    <row r="679" spans="1:9" s="54" customFormat="1" ht="11.4" customHeight="1" x14ac:dyDescent="0.3">
      <c r="A679" s="33"/>
      <c r="B679" s="33"/>
      <c r="C679" s="33"/>
      <c r="D679" s="33"/>
      <c r="E679" s="33"/>
      <c r="F679" s="33"/>
      <c r="G679" s="33"/>
      <c r="H679" s="33"/>
      <c r="I679" s="33"/>
    </row>
    <row r="680" spans="1:9" s="54" customFormat="1" ht="11.4" customHeight="1" x14ac:dyDescent="0.3">
      <c r="A680" s="33"/>
      <c r="B680" s="33"/>
      <c r="C680" s="33"/>
      <c r="D680" s="33"/>
      <c r="E680" s="33"/>
      <c r="F680" s="33"/>
      <c r="G680" s="33"/>
      <c r="H680" s="33"/>
      <c r="I680" s="33"/>
    </row>
    <row r="681" spans="1:9" s="54" customFormat="1" ht="11.4" customHeight="1" x14ac:dyDescent="0.3">
      <c r="A681" s="33"/>
      <c r="B681" s="33"/>
      <c r="C681" s="33"/>
      <c r="D681" s="33"/>
      <c r="E681" s="33"/>
      <c r="F681" s="33"/>
      <c r="G681" s="33"/>
      <c r="H681" s="33"/>
      <c r="I681" s="33"/>
    </row>
    <row r="682" spans="1:9" s="54" customFormat="1" ht="11.4" customHeight="1" x14ac:dyDescent="0.3">
      <c r="A682" s="33"/>
      <c r="B682" s="33"/>
      <c r="C682" s="33"/>
      <c r="D682" s="33"/>
      <c r="E682" s="33"/>
      <c r="F682" s="33"/>
      <c r="G682" s="33"/>
      <c r="H682" s="33"/>
      <c r="I682" s="33"/>
    </row>
    <row r="683" spans="1:9" s="54" customFormat="1" ht="11.4" customHeight="1" x14ac:dyDescent="0.3">
      <c r="A683" s="33"/>
      <c r="B683" s="33"/>
      <c r="C683" s="33"/>
      <c r="D683" s="33"/>
      <c r="E683" s="33"/>
      <c r="F683" s="33"/>
      <c r="G683" s="33"/>
      <c r="H683" s="33"/>
      <c r="I683" s="33"/>
    </row>
    <row r="684" spans="1:9" s="54" customFormat="1" ht="11.4" customHeight="1" x14ac:dyDescent="0.3">
      <c r="A684" s="33"/>
      <c r="B684" s="33"/>
      <c r="C684" s="33"/>
      <c r="D684" s="33"/>
      <c r="E684" s="33"/>
      <c r="F684" s="33"/>
      <c r="G684" s="33"/>
      <c r="H684" s="33"/>
      <c r="I684" s="33"/>
    </row>
    <row r="685" spans="1:9" s="54" customFormat="1" ht="11.4" customHeight="1" x14ac:dyDescent="0.3">
      <c r="A685" s="33"/>
      <c r="B685" s="33"/>
      <c r="C685" s="33"/>
      <c r="D685" s="33"/>
      <c r="E685" s="33"/>
      <c r="F685" s="33"/>
      <c r="G685" s="33"/>
      <c r="H685" s="33"/>
      <c r="I685" s="33"/>
    </row>
    <row r="686" spans="1:9" s="54" customFormat="1" ht="11.4" customHeight="1" x14ac:dyDescent="0.3">
      <c r="A686" s="33"/>
      <c r="B686" s="33"/>
      <c r="C686" s="33"/>
      <c r="D686" s="33"/>
      <c r="E686" s="33"/>
      <c r="F686" s="33"/>
      <c r="G686" s="33"/>
      <c r="H686" s="33"/>
      <c r="I686" s="33"/>
    </row>
    <row r="687" spans="1:9" s="54" customFormat="1" ht="11.4" customHeight="1" x14ac:dyDescent="0.3">
      <c r="A687" s="33"/>
      <c r="B687" s="33"/>
      <c r="C687" s="33"/>
      <c r="D687" s="33"/>
      <c r="E687" s="33"/>
      <c r="F687" s="33"/>
      <c r="G687" s="33"/>
      <c r="H687" s="33"/>
      <c r="I687" s="33"/>
    </row>
    <row r="688" spans="1:9" s="54" customFormat="1" ht="11.4" customHeight="1" x14ac:dyDescent="0.3">
      <c r="A688" s="33"/>
      <c r="B688" s="33"/>
      <c r="C688" s="33"/>
      <c r="D688" s="33"/>
      <c r="E688" s="33"/>
      <c r="F688" s="33"/>
      <c r="G688" s="33"/>
      <c r="H688" s="33"/>
      <c r="I688" s="33"/>
    </row>
    <row r="689" spans="1:9" s="54" customFormat="1" ht="11.4" customHeight="1" x14ac:dyDescent="0.3">
      <c r="A689" s="33"/>
      <c r="B689" s="33"/>
      <c r="C689" s="33"/>
      <c r="D689" s="33"/>
      <c r="E689" s="33"/>
      <c r="F689" s="33"/>
      <c r="G689" s="33"/>
      <c r="H689" s="33"/>
      <c r="I689" s="33"/>
    </row>
    <row r="690" spans="1:9" s="54" customFormat="1" ht="11.4" customHeight="1" x14ac:dyDescent="0.3">
      <c r="A690" s="33"/>
      <c r="B690" s="33"/>
      <c r="C690" s="33"/>
      <c r="D690" s="33"/>
      <c r="E690" s="33"/>
      <c r="F690" s="33"/>
      <c r="G690" s="33"/>
      <c r="H690" s="33"/>
      <c r="I690" s="33"/>
    </row>
    <row r="691" spans="1:9" s="54" customFormat="1" ht="11.4" customHeight="1" x14ac:dyDescent="0.3">
      <c r="A691" s="33"/>
      <c r="B691" s="33"/>
      <c r="C691" s="33"/>
      <c r="D691" s="33"/>
      <c r="E691" s="33"/>
      <c r="F691" s="33"/>
      <c r="G691" s="33"/>
      <c r="H691" s="33"/>
      <c r="I691" s="33"/>
    </row>
    <row r="692" spans="1:9" s="54" customFormat="1" ht="11.4" customHeight="1" x14ac:dyDescent="0.3">
      <c r="A692" s="33"/>
      <c r="B692" s="33"/>
      <c r="C692" s="33"/>
      <c r="D692" s="33"/>
      <c r="E692" s="33"/>
      <c r="F692" s="33"/>
      <c r="G692" s="33"/>
      <c r="H692" s="33"/>
      <c r="I692" s="33"/>
    </row>
    <row r="693" spans="1:9" s="54" customFormat="1" ht="11.4" customHeight="1" x14ac:dyDescent="0.3">
      <c r="A693" s="33"/>
      <c r="B693" s="33"/>
      <c r="C693" s="33"/>
      <c r="D693" s="33"/>
      <c r="E693" s="33"/>
      <c r="F693" s="33"/>
      <c r="G693" s="33"/>
      <c r="H693" s="33"/>
      <c r="I693" s="33"/>
    </row>
    <row r="694" spans="1:9" s="54" customFormat="1" ht="11.4" customHeight="1" x14ac:dyDescent="0.3">
      <c r="A694" s="33"/>
      <c r="B694" s="33"/>
      <c r="C694" s="33"/>
      <c r="D694" s="33"/>
      <c r="E694" s="33"/>
      <c r="F694" s="33"/>
      <c r="G694" s="33"/>
      <c r="H694" s="33"/>
      <c r="I694" s="33"/>
    </row>
    <row r="695" spans="1:9" s="54" customFormat="1" ht="11.4" customHeight="1" x14ac:dyDescent="0.3">
      <c r="A695" s="33"/>
      <c r="B695" s="33"/>
      <c r="C695" s="33"/>
      <c r="D695" s="33"/>
      <c r="E695" s="33"/>
      <c r="F695" s="33"/>
      <c r="G695" s="33"/>
      <c r="H695" s="33"/>
      <c r="I695" s="33"/>
    </row>
    <row r="696" spans="1:9" s="54" customFormat="1" ht="11.4" customHeight="1" x14ac:dyDescent="0.3">
      <c r="A696" s="33"/>
      <c r="B696" s="33"/>
      <c r="C696" s="33"/>
      <c r="D696" s="33"/>
      <c r="E696" s="33"/>
      <c r="F696" s="33"/>
      <c r="G696" s="33"/>
      <c r="H696" s="33"/>
      <c r="I696" s="33"/>
    </row>
    <row r="697" spans="1:9" s="54" customFormat="1" ht="11.4" customHeight="1" x14ac:dyDescent="0.3">
      <c r="A697" s="33"/>
      <c r="B697" s="33"/>
      <c r="C697" s="33"/>
      <c r="D697" s="33"/>
      <c r="E697" s="33"/>
      <c r="F697" s="33"/>
      <c r="G697" s="33"/>
      <c r="H697" s="33"/>
      <c r="I697" s="33"/>
    </row>
    <row r="698" spans="1:9" s="54" customFormat="1" ht="11.4" customHeight="1" x14ac:dyDescent="0.3">
      <c r="A698" s="33"/>
      <c r="B698" s="33"/>
      <c r="C698" s="33"/>
      <c r="D698" s="33"/>
      <c r="E698" s="33"/>
      <c r="F698" s="33"/>
      <c r="G698" s="33"/>
      <c r="H698" s="33"/>
      <c r="I698" s="33"/>
    </row>
    <row r="699" spans="1:9" s="54" customFormat="1" ht="11.4" customHeight="1" x14ac:dyDescent="0.3">
      <c r="A699" s="33"/>
      <c r="B699" s="33"/>
      <c r="C699" s="33"/>
      <c r="D699" s="33"/>
      <c r="E699" s="33"/>
      <c r="F699" s="33"/>
      <c r="G699" s="33"/>
      <c r="H699" s="33"/>
      <c r="I699" s="33"/>
    </row>
    <row r="700" spans="1:9" s="54" customFormat="1" ht="11.4" customHeight="1" x14ac:dyDescent="0.3">
      <c r="A700" s="33"/>
      <c r="B700" s="33"/>
      <c r="C700" s="33"/>
      <c r="D700" s="33"/>
      <c r="E700" s="33"/>
      <c r="F700" s="33"/>
      <c r="G700" s="33"/>
      <c r="H700" s="33"/>
      <c r="I700" s="33"/>
    </row>
    <row r="701" spans="1:9" s="54" customFormat="1" ht="11.4" customHeight="1" x14ac:dyDescent="0.3">
      <c r="A701" s="33"/>
      <c r="B701" s="33"/>
      <c r="C701" s="33"/>
      <c r="D701" s="33"/>
      <c r="E701" s="33"/>
      <c r="F701" s="33"/>
      <c r="G701" s="33"/>
      <c r="H701" s="33"/>
      <c r="I701" s="33"/>
    </row>
    <row r="702" spans="1:9" s="54" customFormat="1" ht="11.4" customHeight="1" x14ac:dyDescent="0.3">
      <c r="A702" s="33"/>
      <c r="B702" s="33"/>
      <c r="C702" s="33"/>
      <c r="D702" s="33"/>
      <c r="E702" s="33"/>
      <c r="F702" s="33"/>
      <c r="G702" s="33"/>
      <c r="H702" s="33"/>
      <c r="I702" s="33"/>
    </row>
    <row r="703" spans="1:9" s="54" customFormat="1" ht="11.4" customHeight="1" x14ac:dyDescent="0.3">
      <c r="A703" s="33"/>
      <c r="B703" s="33"/>
      <c r="C703" s="33"/>
      <c r="D703" s="33"/>
      <c r="E703" s="33"/>
      <c r="F703" s="33"/>
      <c r="G703" s="33"/>
      <c r="H703" s="33"/>
      <c r="I703" s="33"/>
    </row>
    <row r="704" spans="1:9" s="54" customFormat="1" ht="11.4" customHeight="1" x14ac:dyDescent="0.3">
      <c r="A704" s="33"/>
      <c r="B704" s="33"/>
      <c r="C704" s="33"/>
      <c r="D704" s="33"/>
      <c r="E704" s="33"/>
      <c r="F704" s="33"/>
      <c r="G704" s="33"/>
      <c r="H704" s="33"/>
      <c r="I704" s="33"/>
    </row>
    <row r="705" spans="1:9" s="54" customFormat="1" ht="11.4" customHeight="1" x14ac:dyDescent="0.3">
      <c r="A705" s="33"/>
      <c r="B705" s="33"/>
      <c r="C705" s="33"/>
      <c r="D705" s="33"/>
      <c r="E705" s="33"/>
      <c r="F705" s="33"/>
      <c r="G705" s="33"/>
      <c r="H705" s="33"/>
      <c r="I705" s="33"/>
    </row>
    <row r="706" spans="1:9" s="54" customFormat="1" ht="11.4" customHeight="1" x14ac:dyDescent="0.3">
      <c r="A706" s="33"/>
      <c r="B706" s="33"/>
      <c r="C706" s="33"/>
      <c r="D706" s="33"/>
      <c r="E706" s="33"/>
      <c r="F706" s="33"/>
      <c r="G706" s="33"/>
      <c r="H706" s="33"/>
      <c r="I706" s="33"/>
    </row>
    <row r="707" spans="1:9" s="54" customFormat="1" ht="11.4" customHeight="1" x14ac:dyDescent="0.3">
      <c r="A707" s="33"/>
      <c r="B707" s="33"/>
      <c r="C707" s="33"/>
      <c r="D707" s="33"/>
      <c r="E707" s="33"/>
      <c r="F707" s="33"/>
      <c r="G707" s="33"/>
      <c r="H707" s="33"/>
      <c r="I707" s="33"/>
    </row>
    <row r="708" spans="1:9" s="54" customFormat="1" ht="11.4" customHeight="1" x14ac:dyDescent="0.3">
      <c r="A708" s="33"/>
      <c r="B708" s="33"/>
      <c r="C708" s="33"/>
      <c r="D708" s="33"/>
      <c r="E708" s="33"/>
      <c r="F708" s="33"/>
      <c r="G708" s="33"/>
      <c r="H708" s="33"/>
      <c r="I708" s="33"/>
    </row>
    <row r="709" spans="1:9" s="54" customFormat="1" ht="11.4" customHeight="1" x14ac:dyDescent="0.3">
      <c r="A709" s="33"/>
      <c r="B709" s="33"/>
      <c r="C709" s="33"/>
      <c r="D709" s="33"/>
      <c r="E709" s="33"/>
      <c r="F709" s="33"/>
      <c r="G709" s="33"/>
      <c r="H709" s="33"/>
      <c r="I709" s="33"/>
    </row>
    <row r="710" spans="1:9" s="54" customFormat="1" ht="11.4" customHeight="1" x14ac:dyDescent="0.3">
      <c r="A710" s="33"/>
      <c r="B710" s="33"/>
      <c r="C710" s="33"/>
      <c r="D710" s="33"/>
      <c r="E710" s="33"/>
      <c r="F710" s="33"/>
      <c r="G710" s="33"/>
      <c r="H710" s="33"/>
      <c r="I710" s="33"/>
    </row>
    <row r="711" spans="1:9" s="54" customFormat="1" ht="11.4" customHeight="1" x14ac:dyDescent="0.3">
      <c r="A711" s="33"/>
      <c r="B711" s="33"/>
      <c r="C711" s="33"/>
      <c r="D711" s="33"/>
      <c r="E711" s="33"/>
      <c r="F711" s="33"/>
      <c r="G711" s="33"/>
      <c r="H711" s="33"/>
      <c r="I711" s="33"/>
    </row>
    <row r="712" spans="1:9" s="54" customFormat="1" ht="11.4" customHeight="1" x14ac:dyDescent="0.3">
      <c r="A712" s="33"/>
      <c r="B712" s="33"/>
      <c r="C712" s="33"/>
      <c r="D712" s="33"/>
      <c r="E712" s="33"/>
      <c r="F712" s="33"/>
      <c r="G712" s="33"/>
      <c r="H712" s="33"/>
      <c r="I712" s="33"/>
    </row>
    <row r="713" spans="1:9" s="54" customFormat="1" ht="11.4" customHeight="1" x14ac:dyDescent="0.3">
      <c r="A713" s="33"/>
      <c r="B713" s="33"/>
      <c r="C713" s="33"/>
      <c r="D713" s="33"/>
      <c r="E713" s="33"/>
      <c r="F713" s="33"/>
      <c r="G713" s="33"/>
      <c r="H713" s="33"/>
      <c r="I713" s="33"/>
    </row>
    <row r="714" spans="1:9" s="54" customFormat="1" ht="11.4" customHeight="1" x14ac:dyDescent="0.3">
      <c r="A714" s="33"/>
      <c r="B714" s="33"/>
      <c r="C714" s="33"/>
      <c r="D714" s="33"/>
      <c r="E714" s="33"/>
      <c r="F714" s="33"/>
      <c r="G714" s="33"/>
      <c r="H714" s="33"/>
      <c r="I714" s="33"/>
    </row>
    <row r="715" spans="1:9" s="54" customFormat="1" ht="11.4" customHeight="1" x14ac:dyDescent="0.3">
      <c r="A715" s="33"/>
      <c r="B715" s="33"/>
      <c r="C715" s="33"/>
      <c r="D715" s="33"/>
      <c r="E715" s="33"/>
      <c r="F715" s="33"/>
      <c r="G715" s="33"/>
      <c r="H715" s="33"/>
      <c r="I715" s="33"/>
    </row>
    <row r="716" spans="1:9" s="54" customFormat="1" ht="11.4" customHeight="1" x14ac:dyDescent="0.3">
      <c r="A716" s="33"/>
      <c r="B716" s="33"/>
      <c r="C716" s="33"/>
      <c r="D716" s="33"/>
      <c r="E716" s="33"/>
      <c r="F716" s="33"/>
      <c r="G716" s="33"/>
      <c r="H716" s="33"/>
      <c r="I716" s="33"/>
    </row>
    <row r="717" spans="1:9" s="54" customFormat="1" ht="11.4" customHeight="1" x14ac:dyDescent="0.3">
      <c r="A717" s="33"/>
      <c r="B717" s="33"/>
      <c r="C717" s="33"/>
      <c r="D717" s="33"/>
      <c r="E717" s="33"/>
      <c r="F717" s="33"/>
      <c r="G717" s="33"/>
      <c r="H717" s="33"/>
      <c r="I717" s="33"/>
    </row>
    <row r="718" spans="1:9" s="54" customFormat="1" ht="11.4" customHeight="1" x14ac:dyDescent="0.3">
      <c r="A718" s="33"/>
      <c r="B718" s="33"/>
      <c r="C718" s="33"/>
      <c r="D718" s="33"/>
      <c r="E718" s="33"/>
      <c r="F718" s="33"/>
      <c r="G718" s="33"/>
      <c r="H718" s="33"/>
      <c r="I718" s="33"/>
    </row>
    <row r="719" spans="1:9" s="54" customFormat="1" ht="11.4" customHeight="1" x14ac:dyDescent="0.3">
      <c r="A719" s="33"/>
      <c r="B719" s="33"/>
      <c r="C719" s="33"/>
      <c r="D719" s="33"/>
      <c r="E719" s="33"/>
      <c r="F719" s="33"/>
      <c r="G719" s="33"/>
      <c r="H719" s="33"/>
      <c r="I719" s="33"/>
    </row>
    <row r="720" spans="1:9" s="54" customFormat="1" ht="11.4" customHeight="1" x14ac:dyDescent="0.3">
      <c r="A720" s="33"/>
      <c r="B720" s="33"/>
      <c r="C720" s="33"/>
      <c r="D720" s="33"/>
      <c r="E720" s="33"/>
      <c r="F720" s="33"/>
      <c r="G720" s="33"/>
      <c r="H720" s="33"/>
      <c r="I720" s="33"/>
    </row>
    <row r="721" spans="1:9" s="54" customFormat="1" ht="11.4" customHeight="1" x14ac:dyDescent="0.3">
      <c r="A721" s="33"/>
      <c r="B721" s="33"/>
      <c r="C721" s="33"/>
      <c r="D721" s="33"/>
      <c r="E721" s="33"/>
      <c r="F721" s="33"/>
      <c r="G721" s="33"/>
      <c r="H721" s="33"/>
      <c r="I721" s="33"/>
    </row>
    <row r="722" spans="1:9" s="54" customFormat="1" ht="11.4" customHeight="1" x14ac:dyDescent="0.3">
      <c r="A722" s="33"/>
      <c r="B722" s="33"/>
      <c r="C722" s="33"/>
      <c r="D722" s="33"/>
      <c r="E722" s="33"/>
      <c r="F722" s="33"/>
      <c r="G722" s="33"/>
      <c r="H722" s="33"/>
      <c r="I722" s="33"/>
    </row>
    <row r="723" spans="1:9" s="54" customFormat="1" ht="11.4" customHeight="1" x14ac:dyDescent="0.3">
      <c r="A723" s="33"/>
      <c r="B723" s="33"/>
      <c r="C723" s="33"/>
      <c r="D723" s="33"/>
      <c r="E723" s="33"/>
      <c r="F723" s="33"/>
      <c r="G723" s="33"/>
      <c r="H723" s="33"/>
      <c r="I723" s="33"/>
    </row>
    <row r="724" spans="1:9" s="54" customFormat="1" ht="11.4" customHeight="1" x14ac:dyDescent="0.3">
      <c r="A724" s="33"/>
      <c r="B724" s="33"/>
      <c r="C724" s="33"/>
      <c r="D724" s="33"/>
      <c r="E724" s="33"/>
      <c r="F724" s="33"/>
      <c r="G724" s="33"/>
      <c r="H724" s="33"/>
      <c r="I724" s="33"/>
    </row>
    <row r="725" spans="1:9" s="54" customFormat="1" ht="11.4" customHeight="1" x14ac:dyDescent="0.3">
      <c r="A725" s="33"/>
      <c r="B725" s="33"/>
      <c r="C725" s="33"/>
      <c r="D725" s="33"/>
      <c r="E725" s="33"/>
      <c r="F725" s="33"/>
      <c r="G725" s="33"/>
      <c r="H725" s="33"/>
      <c r="I725" s="33"/>
    </row>
    <row r="726" spans="1:9" s="54" customFormat="1" ht="11.4" customHeight="1" x14ac:dyDescent="0.3">
      <c r="A726" s="33"/>
      <c r="B726" s="33"/>
      <c r="C726" s="33"/>
      <c r="D726" s="33"/>
      <c r="E726" s="33"/>
      <c r="F726" s="33"/>
      <c r="G726" s="33"/>
      <c r="H726" s="33"/>
      <c r="I726" s="33"/>
    </row>
    <row r="727" spans="1:9" s="54" customFormat="1" ht="11.4" customHeight="1" x14ac:dyDescent="0.3">
      <c r="A727" s="33"/>
      <c r="B727" s="33"/>
      <c r="C727" s="33"/>
      <c r="D727" s="33"/>
      <c r="E727" s="33"/>
      <c r="F727" s="33"/>
      <c r="G727" s="33"/>
      <c r="H727" s="33"/>
      <c r="I727" s="33"/>
    </row>
    <row r="728" spans="1:9" s="54" customFormat="1" ht="11.4" customHeight="1" x14ac:dyDescent="0.3">
      <c r="A728" s="33"/>
      <c r="B728" s="33"/>
      <c r="C728" s="33"/>
      <c r="D728" s="33"/>
      <c r="E728" s="33"/>
      <c r="F728" s="33"/>
      <c r="G728" s="33"/>
      <c r="H728" s="33"/>
      <c r="I728" s="33"/>
    </row>
    <row r="729" spans="1:9" s="54" customFormat="1" ht="11.4" customHeight="1" x14ac:dyDescent="0.3">
      <c r="A729" s="33"/>
      <c r="B729" s="33"/>
      <c r="C729" s="33"/>
      <c r="D729" s="33"/>
      <c r="E729" s="33"/>
      <c r="F729" s="33"/>
      <c r="G729" s="33"/>
      <c r="H729" s="33"/>
      <c r="I729" s="33"/>
    </row>
    <row r="730" spans="1:9" s="54" customFormat="1" ht="11.4" customHeight="1" x14ac:dyDescent="0.3">
      <c r="A730" s="33"/>
      <c r="B730" s="33"/>
      <c r="C730" s="33"/>
      <c r="D730" s="33"/>
      <c r="E730" s="33"/>
      <c r="F730" s="33"/>
      <c r="G730" s="33"/>
      <c r="H730" s="33"/>
      <c r="I730" s="33"/>
    </row>
    <row r="731" spans="1:9" s="54" customFormat="1" ht="11.4" customHeight="1" x14ac:dyDescent="0.3">
      <c r="A731" s="33"/>
      <c r="B731" s="33"/>
      <c r="C731" s="33"/>
      <c r="D731" s="33"/>
      <c r="E731" s="33"/>
      <c r="F731" s="33"/>
      <c r="G731" s="33"/>
      <c r="H731" s="33"/>
      <c r="I731" s="33"/>
    </row>
    <row r="732" spans="1:9" s="54" customFormat="1" ht="11.4" customHeight="1" x14ac:dyDescent="0.3">
      <c r="A732" s="33"/>
      <c r="B732" s="33"/>
      <c r="C732" s="33"/>
      <c r="D732" s="33"/>
      <c r="E732" s="33"/>
      <c r="F732" s="33"/>
      <c r="G732" s="33"/>
      <c r="H732" s="33"/>
      <c r="I732" s="33"/>
    </row>
    <row r="733" spans="1:9" s="54" customFormat="1" ht="11.4" customHeight="1" x14ac:dyDescent="0.3">
      <c r="A733" s="33"/>
      <c r="B733" s="33"/>
      <c r="C733" s="33"/>
      <c r="D733" s="33"/>
      <c r="E733" s="33"/>
      <c r="F733" s="33"/>
      <c r="G733" s="33"/>
      <c r="H733" s="33"/>
      <c r="I733" s="33"/>
    </row>
    <row r="734" spans="1:9" s="54" customFormat="1" ht="11.4" customHeight="1" x14ac:dyDescent="0.3">
      <c r="A734" s="33"/>
      <c r="B734" s="33"/>
      <c r="C734" s="33"/>
      <c r="D734" s="33"/>
      <c r="E734" s="33"/>
      <c r="F734" s="33"/>
      <c r="G734" s="33"/>
      <c r="H734" s="33"/>
      <c r="I734" s="33"/>
    </row>
    <row r="735" spans="1:9" s="54" customFormat="1" ht="11.4" customHeight="1" x14ac:dyDescent="0.3">
      <c r="A735" s="33"/>
      <c r="B735" s="33"/>
      <c r="C735" s="33"/>
      <c r="D735" s="33"/>
      <c r="E735" s="33"/>
      <c r="F735" s="33"/>
      <c r="G735" s="33"/>
      <c r="H735" s="33"/>
      <c r="I735" s="33"/>
    </row>
    <row r="736" spans="1:9" s="54" customFormat="1" ht="11.4" customHeight="1" x14ac:dyDescent="0.3">
      <c r="A736" s="33"/>
      <c r="B736" s="33"/>
      <c r="C736" s="33"/>
      <c r="D736" s="33"/>
      <c r="E736" s="33"/>
      <c r="F736" s="33"/>
      <c r="G736" s="33"/>
      <c r="H736" s="33"/>
      <c r="I736" s="33"/>
    </row>
    <row r="737" spans="1:9" s="54" customFormat="1" ht="11.4" customHeight="1" x14ac:dyDescent="0.3">
      <c r="A737" s="33"/>
      <c r="B737" s="33"/>
      <c r="C737" s="33"/>
      <c r="D737" s="33"/>
      <c r="E737" s="33"/>
      <c r="F737" s="33"/>
      <c r="G737" s="33"/>
      <c r="H737" s="33"/>
      <c r="I737" s="33"/>
    </row>
    <row r="738" spans="1:9" s="54" customFormat="1" ht="11.4" customHeight="1" x14ac:dyDescent="0.3">
      <c r="A738" s="33"/>
      <c r="B738" s="33"/>
      <c r="C738" s="33"/>
      <c r="D738" s="33"/>
      <c r="E738" s="33"/>
      <c r="F738" s="33"/>
      <c r="G738" s="33"/>
      <c r="H738" s="33"/>
      <c r="I738" s="33"/>
    </row>
    <row r="739" spans="1:9" s="54" customFormat="1" ht="11.4" customHeight="1" x14ac:dyDescent="0.3">
      <c r="A739" s="33"/>
      <c r="B739" s="33"/>
      <c r="C739" s="33"/>
      <c r="D739" s="33"/>
      <c r="E739" s="33"/>
      <c r="F739" s="33"/>
      <c r="G739" s="33"/>
      <c r="H739" s="33"/>
      <c r="I739" s="33"/>
    </row>
    <row r="740" spans="1:9" s="54" customFormat="1" ht="11.4" customHeight="1" x14ac:dyDescent="0.3">
      <c r="A740" s="33"/>
      <c r="B740" s="33"/>
      <c r="C740" s="33"/>
      <c r="D740" s="33"/>
      <c r="E740" s="33"/>
      <c r="F740" s="33"/>
      <c r="G740" s="33"/>
      <c r="H740" s="33"/>
      <c r="I740" s="33"/>
    </row>
    <row r="741" spans="1:9" s="54" customFormat="1" ht="11.4" customHeight="1" x14ac:dyDescent="0.3">
      <c r="A741" s="33"/>
      <c r="B741" s="33"/>
      <c r="C741" s="33"/>
      <c r="D741" s="33"/>
      <c r="E741" s="33"/>
      <c r="F741" s="33"/>
      <c r="G741" s="33"/>
      <c r="H741" s="33"/>
      <c r="I741" s="33"/>
    </row>
    <row r="742" spans="1:9" s="54" customFormat="1" ht="11.4" customHeight="1" x14ac:dyDescent="0.3">
      <c r="A742" s="33"/>
      <c r="B742" s="33"/>
      <c r="C742" s="33"/>
      <c r="D742" s="33"/>
      <c r="E742" s="33"/>
      <c r="F742" s="33"/>
      <c r="G742" s="33"/>
      <c r="H742" s="33"/>
      <c r="I742" s="33"/>
    </row>
    <row r="743" spans="1:9" s="54" customFormat="1" ht="11.4" customHeight="1" x14ac:dyDescent="0.3">
      <c r="A743" s="33"/>
      <c r="B743" s="33"/>
      <c r="C743" s="33"/>
      <c r="D743" s="33"/>
      <c r="E743" s="33"/>
      <c r="F743" s="33"/>
      <c r="G743" s="33"/>
      <c r="H743" s="33"/>
      <c r="I743" s="33"/>
    </row>
    <row r="744" spans="1:9" s="54" customFormat="1" ht="11.4" customHeight="1" x14ac:dyDescent="0.3">
      <c r="A744" s="33"/>
      <c r="B744" s="33"/>
      <c r="C744" s="33"/>
      <c r="D744" s="33"/>
      <c r="E744" s="33"/>
      <c r="F744" s="33"/>
      <c r="G744" s="33"/>
      <c r="H744" s="33"/>
      <c r="I744" s="33"/>
    </row>
    <row r="745" spans="1:9" s="54" customFormat="1" ht="11.4" customHeight="1" x14ac:dyDescent="0.3">
      <c r="A745" s="33"/>
      <c r="B745" s="33"/>
      <c r="C745" s="33"/>
      <c r="D745" s="33"/>
      <c r="E745" s="33"/>
      <c r="F745" s="33"/>
      <c r="G745" s="33"/>
      <c r="H745" s="33"/>
      <c r="I745" s="33"/>
    </row>
    <row r="746" spans="1:9" s="54" customFormat="1" ht="11.4" customHeight="1" x14ac:dyDescent="0.3">
      <c r="A746" s="33"/>
      <c r="B746" s="33"/>
      <c r="C746" s="33"/>
      <c r="D746" s="33"/>
      <c r="E746" s="33"/>
      <c r="F746" s="33"/>
      <c r="G746" s="33"/>
      <c r="H746" s="33"/>
      <c r="I746" s="33"/>
    </row>
    <row r="747" spans="1:9" s="54" customFormat="1" ht="11.4" customHeight="1" x14ac:dyDescent="0.3">
      <c r="A747" s="33"/>
      <c r="B747" s="33"/>
      <c r="C747" s="33"/>
      <c r="D747" s="33"/>
      <c r="E747" s="33"/>
      <c r="F747" s="33"/>
      <c r="G747" s="33"/>
      <c r="H747" s="33"/>
      <c r="I747" s="33"/>
    </row>
    <row r="748" spans="1:9" s="54" customFormat="1" ht="11.4" customHeight="1" x14ac:dyDescent="0.3">
      <c r="A748" s="33"/>
      <c r="B748" s="33"/>
      <c r="C748" s="33"/>
      <c r="D748" s="33"/>
      <c r="E748" s="33"/>
      <c r="F748" s="33"/>
      <c r="G748" s="33"/>
      <c r="H748" s="33"/>
      <c r="I748" s="33"/>
    </row>
    <row r="749" spans="1:9" s="54" customFormat="1" ht="11.4" customHeight="1" x14ac:dyDescent="0.3">
      <c r="A749" s="33"/>
      <c r="B749" s="33"/>
      <c r="C749" s="33"/>
      <c r="D749" s="33"/>
      <c r="E749" s="33"/>
      <c r="F749" s="33"/>
      <c r="G749" s="33"/>
      <c r="H749" s="33"/>
      <c r="I749" s="33"/>
    </row>
    <row r="750" spans="1:9" s="54" customFormat="1" ht="11.4" customHeight="1" x14ac:dyDescent="0.3">
      <c r="A750" s="33"/>
      <c r="B750" s="33"/>
      <c r="C750" s="33"/>
      <c r="D750" s="33"/>
      <c r="E750" s="33"/>
      <c r="F750" s="33"/>
      <c r="G750" s="33"/>
      <c r="H750" s="33"/>
      <c r="I750" s="33"/>
    </row>
    <row r="751" spans="1:9" s="54" customFormat="1" ht="11.4" customHeight="1" x14ac:dyDescent="0.3">
      <c r="A751" s="33"/>
      <c r="B751" s="33"/>
      <c r="C751" s="33"/>
      <c r="D751" s="33"/>
      <c r="E751" s="33"/>
      <c r="F751" s="33"/>
      <c r="G751" s="33"/>
      <c r="H751" s="33"/>
      <c r="I751" s="33"/>
    </row>
    <row r="752" spans="1:9" s="54" customFormat="1" ht="11.4" customHeight="1" x14ac:dyDescent="0.3">
      <c r="A752" s="33"/>
      <c r="B752" s="33"/>
      <c r="C752" s="33"/>
      <c r="D752" s="33"/>
      <c r="E752" s="33"/>
      <c r="F752" s="33"/>
      <c r="G752" s="33"/>
      <c r="H752" s="33"/>
      <c r="I752" s="33"/>
    </row>
    <row r="753" spans="1:9" s="54" customFormat="1" ht="11.4" customHeight="1" x14ac:dyDescent="0.3">
      <c r="A753" s="33"/>
      <c r="B753" s="33"/>
      <c r="C753" s="33"/>
      <c r="D753" s="33"/>
      <c r="E753" s="33"/>
      <c r="F753" s="33"/>
      <c r="G753" s="33"/>
      <c r="H753" s="33"/>
      <c r="I753" s="33"/>
    </row>
    <row r="754" spans="1:9" s="54" customFormat="1" ht="11.4" customHeight="1" x14ac:dyDescent="0.3">
      <c r="A754" s="33"/>
      <c r="B754" s="33"/>
      <c r="C754" s="33"/>
      <c r="D754" s="33"/>
      <c r="E754" s="33"/>
      <c r="F754" s="33"/>
      <c r="G754" s="33"/>
      <c r="H754" s="33"/>
      <c r="I754" s="33"/>
    </row>
    <row r="755" spans="1:9" s="54" customFormat="1" ht="11.4" customHeight="1" x14ac:dyDescent="0.3">
      <c r="A755" s="33"/>
      <c r="B755" s="33"/>
      <c r="C755" s="33"/>
      <c r="D755" s="33"/>
      <c r="E755" s="33"/>
      <c r="F755" s="33"/>
      <c r="G755" s="33"/>
      <c r="H755" s="33"/>
      <c r="I755" s="33"/>
    </row>
    <row r="756" spans="1:9" s="54" customFormat="1" ht="11.4" customHeight="1" x14ac:dyDescent="0.3">
      <c r="A756" s="33"/>
      <c r="B756" s="33"/>
      <c r="C756" s="33"/>
      <c r="D756" s="33"/>
      <c r="E756" s="33"/>
      <c r="F756" s="33"/>
      <c r="G756" s="33"/>
      <c r="H756" s="33"/>
      <c r="I756" s="33"/>
    </row>
    <row r="757" spans="1:9" s="54" customFormat="1" ht="11.4" customHeight="1" x14ac:dyDescent="0.3">
      <c r="A757" s="33"/>
      <c r="B757" s="33"/>
      <c r="C757" s="33"/>
      <c r="D757" s="33"/>
      <c r="E757" s="33"/>
      <c r="F757" s="33"/>
      <c r="G757" s="33"/>
      <c r="H757" s="33"/>
      <c r="I757" s="33"/>
    </row>
    <row r="758" spans="1:9" s="54" customFormat="1" ht="11.4" customHeight="1" x14ac:dyDescent="0.3">
      <c r="A758" s="33"/>
      <c r="B758" s="33"/>
      <c r="C758" s="33"/>
      <c r="D758" s="33"/>
      <c r="E758" s="33"/>
      <c r="F758" s="33"/>
      <c r="G758" s="33"/>
      <c r="H758" s="33"/>
      <c r="I758" s="33"/>
    </row>
    <row r="759" spans="1:9" s="54" customFormat="1" ht="11.4" customHeight="1" x14ac:dyDescent="0.3">
      <c r="A759" s="33"/>
      <c r="B759" s="33"/>
      <c r="C759" s="33"/>
      <c r="D759" s="33"/>
      <c r="E759" s="33"/>
      <c r="F759" s="33"/>
      <c r="G759" s="33"/>
      <c r="H759" s="33"/>
      <c r="I759" s="33"/>
    </row>
    <row r="760" spans="1:9" s="54" customFormat="1" ht="11.4" customHeight="1" x14ac:dyDescent="0.3">
      <c r="A760" s="33"/>
      <c r="B760" s="33"/>
      <c r="C760" s="33"/>
      <c r="D760" s="33"/>
      <c r="E760" s="33"/>
      <c r="F760" s="33"/>
      <c r="G760" s="33"/>
      <c r="H760" s="33"/>
      <c r="I760" s="33"/>
    </row>
    <row r="761" spans="1:9" s="54" customFormat="1" ht="11.4" customHeight="1" x14ac:dyDescent="0.3">
      <c r="A761" s="33"/>
      <c r="B761" s="33"/>
      <c r="C761" s="33"/>
      <c r="D761" s="33"/>
      <c r="E761" s="33"/>
      <c r="F761" s="33"/>
      <c r="G761" s="33"/>
      <c r="H761" s="33"/>
      <c r="I761" s="33"/>
    </row>
    <row r="762" spans="1:9" s="54" customFormat="1" ht="11.4" customHeight="1" x14ac:dyDescent="0.3">
      <c r="A762" s="33"/>
      <c r="B762" s="33"/>
      <c r="C762" s="33"/>
      <c r="D762" s="33"/>
      <c r="E762" s="33"/>
      <c r="F762" s="33"/>
      <c r="G762" s="33"/>
      <c r="H762" s="33"/>
      <c r="I762" s="33"/>
    </row>
    <row r="763" spans="1:9" s="54" customFormat="1" ht="11.4" customHeight="1" x14ac:dyDescent="0.3">
      <c r="A763" s="33"/>
      <c r="B763" s="33"/>
      <c r="C763" s="33"/>
      <c r="D763" s="33"/>
      <c r="E763" s="33"/>
      <c r="F763" s="33"/>
      <c r="G763" s="33"/>
      <c r="H763" s="33"/>
      <c r="I763" s="33"/>
    </row>
    <row r="764" spans="1:9" s="54" customFormat="1" ht="11.4" customHeight="1" x14ac:dyDescent="0.3">
      <c r="A764" s="33"/>
      <c r="B764" s="33"/>
      <c r="C764" s="33"/>
      <c r="D764" s="33"/>
      <c r="E764" s="33"/>
      <c r="F764" s="33"/>
      <c r="G764" s="33"/>
      <c r="H764" s="33"/>
      <c r="I764" s="33"/>
    </row>
    <row r="765" spans="1:9" s="54" customFormat="1" ht="11.4" customHeight="1" x14ac:dyDescent="0.3">
      <c r="A765" s="33"/>
      <c r="B765" s="33"/>
      <c r="C765" s="33"/>
      <c r="D765" s="33"/>
      <c r="E765" s="33"/>
      <c r="F765" s="33"/>
      <c r="G765" s="33"/>
      <c r="H765" s="33"/>
      <c r="I765" s="33"/>
    </row>
    <row r="766" spans="1:9" s="54" customFormat="1" ht="11.4" customHeight="1" x14ac:dyDescent="0.3">
      <c r="A766" s="33"/>
      <c r="B766" s="33"/>
      <c r="C766" s="33"/>
      <c r="D766" s="33"/>
      <c r="E766" s="33"/>
      <c r="F766" s="33"/>
      <c r="G766" s="33"/>
      <c r="H766" s="33"/>
      <c r="I766" s="33"/>
    </row>
    <row r="767" spans="1:9" s="54" customFormat="1" ht="11.4" customHeight="1" x14ac:dyDescent="0.3">
      <c r="A767" s="33"/>
      <c r="B767" s="33"/>
      <c r="C767" s="33"/>
      <c r="D767" s="33"/>
      <c r="E767" s="33"/>
      <c r="F767" s="33"/>
      <c r="G767" s="33"/>
      <c r="H767" s="33"/>
      <c r="I767" s="33"/>
    </row>
    <row r="768" spans="1:9" s="54" customFormat="1" ht="11.4" customHeight="1" x14ac:dyDescent="0.3">
      <c r="A768" s="33"/>
      <c r="B768" s="33"/>
      <c r="C768" s="33"/>
      <c r="D768" s="33"/>
      <c r="E768" s="33"/>
      <c r="F768" s="33"/>
      <c r="G768" s="33"/>
      <c r="H768" s="33"/>
      <c r="I768" s="33"/>
    </row>
    <row r="769" spans="1:9" s="54" customFormat="1" ht="11.4" customHeight="1" x14ac:dyDescent="0.3">
      <c r="A769" s="33"/>
      <c r="B769" s="33"/>
      <c r="C769" s="33"/>
      <c r="D769" s="33"/>
      <c r="E769" s="33"/>
      <c r="F769" s="33"/>
      <c r="G769" s="33"/>
      <c r="H769" s="33"/>
      <c r="I769" s="33"/>
    </row>
    <row r="770" spans="1:9" s="54" customFormat="1" ht="11.4" customHeight="1" x14ac:dyDescent="0.3">
      <c r="A770" s="33"/>
      <c r="B770" s="33"/>
      <c r="C770" s="33"/>
      <c r="D770" s="33"/>
      <c r="E770" s="33"/>
      <c r="F770" s="33"/>
      <c r="G770" s="33"/>
      <c r="H770" s="33"/>
      <c r="I770" s="33"/>
    </row>
    <row r="771" spans="1:9" s="54" customFormat="1" ht="11.4" customHeight="1" x14ac:dyDescent="0.3">
      <c r="A771" s="33"/>
      <c r="B771" s="33"/>
      <c r="C771" s="33"/>
      <c r="D771" s="33"/>
      <c r="E771" s="33"/>
      <c r="F771" s="33"/>
      <c r="G771" s="33"/>
      <c r="H771" s="33"/>
      <c r="I771" s="33"/>
    </row>
    <row r="772" spans="1:9" s="54" customFormat="1" ht="11.4" customHeight="1" x14ac:dyDescent="0.3">
      <c r="A772" s="33"/>
      <c r="B772" s="33"/>
      <c r="C772" s="33"/>
      <c r="D772" s="33"/>
      <c r="E772" s="33"/>
      <c r="F772" s="33"/>
      <c r="G772" s="33"/>
      <c r="H772" s="33"/>
      <c r="I772" s="33"/>
    </row>
    <row r="773" spans="1:9" s="54" customFormat="1" ht="11.4" customHeight="1" x14ac:dyDescent="0.3">
      <c r="A773" s="33"/>
      <c r="B773" s="33"/>
      <c r="C773" s="33"/>
      <c r="D773" s="33"/>
      <c r="E773" s="33"/>
      <c r="F773" s="33"/>
      <c r="G773" s="33"/>
      <c r="H773" s="33"/>
      <c r="I773" s="33"/>
    </row>
    <row r="774" spans="1:9" s="54" customFormat="1" ht="11.4" customHeight="1" x14ac:dyDescent="0.3">
      <c r="A774" s="33"/>
      <c r="B774" s="33"/>
      <c r="C774" s="33"/>
      <c r="D774" s="33"/>
      <c r="E774" s="33"/>
      <c r="F774" s="33"/>
      <c r="G774" s="33"/>
      <c r="H774" s="33"/>
      <c r="I774" s="33"/>
    </row>
    <row r="775" spans="1:9" s="54" customFormat="1" ht="11.4" customHeight="1" x14ac:dyDescent="0.3">
      <c r="A775" s="33"/>
      <c r="B775" s="33"/>
      <c r="C775" s="33"/>
      <c r="D775" s="33"/>
      <c r="E775" s="33"/>
      <c r="F775" s="33"/>
      <c r="G775" s="33"/>
      <c r="H775" s="33"/>
      <c r="I775" s="33"/>
    </row>
    <row r="776" spans="1:9" s="54" customFormat="1" ht="11.4" customHeight="1" x14ac:dyDescent="0.3">
      <c r="A776" s="33"/>
      <c r="B776" s="33"/>
      <c r="C776" s="33"/>
      <c r="D776" s="33"/>
      <c r="E776" s="33"/>
      <c r="F776" s="33"/>
      <c r="G776" s="33"/>
      <c r="H776" s="33"/>
      <c r="I776" s="33"/>
    </row>
    <row r="777" spans="1:9" s="54" customFormat="1" ht="11.4" customHeight="1" x14ac:dyDescent="0.3">
      <c r="A777" s="33"/>
      <c r="B777" s="33"/>
      <c r="C777" s="33"/>
      <c r="D777" s="33"/>
      <c r="E777" s="33"/>
      <c r="F777" s="33"/>
      <c r="G777" s="33"/>
      <c r="H777" s="33"/>
      <c r="I777" s="33"/>
    </row>
    <row r="778" spans="1:9" s="54" customFormat="1" ht="11.4" customHeight="1" x14ac:dyDescent="0.3">
      <c r="A778" s="33"/>
      <c r="B778" s="33"/>
      <c r="C778" s="33"/>
      <c r="D778" s="33"/>
      <c r="E778" s="33"/>
      <c r="F778" s="33"/>
      <c r="G778" s="33"/>
      <c r="H778" s="33"/>
      <c r="I778" s="33"/>
    </row>
    <row r="779" spans="1:9" s="54" customFormat="1" ht="11.4" customHeight="1" x14ac:dyDescent="0.3">
      <c r="A779" s="33"/>
      <c r="B779" s="33"/>
      <c r="C779" s="33"/>
      <c r="D779" s="33"/>
      <c r="E779" s="33"/>
      <c r="F779" s="33"/>
      <c r="G779" s="33"/>
      <c r="H779" s="33"/>
      <c r="I779" s="33"/>
    </row>
    <row r="780" spans="1:9" s="54" customFormat="1" ht="11.4" customHeight="1" x14ac:dyDescent="0.3">
      <c r="A780" s="33"/>
      <c r="B780" s="33"/>
      <c r="C780" s="33"/>
      <c r="D780" s="33"/>
      <c r="E780" s="33"/>
      <c r="F780" s="33"/>
      <c r="G780" s="33"/>
      <c r="H780" s="33"/>
      <c r="I780" s="33"/>
    </row>
    <row r="781" spans="1:9" s="54" customFormat="1" ht="11.4" customHeight="1" x14ac:dyDescent="0.3">
      <c r="A781" s="33"/>
      <c r="B781" s="33"/>
      <c r="C781" s="33"/>
      <c r="D781" s="33"/>
      <c r="E781" s="33"/>
      <c r="F781" s="33"/>
      <c r="G781" s="33"/>
      <c r="H781" s="33"/>
      <c r="I781" s="33"/>
    </row>
    <row r="782" spans="1:9" s="54" customFormat="1" ht="11.4" customHeight="1" x14ac:dyDescent="0.3">
      <c r="A782" s="33"/>
      <c r="B782" s="33"/>
      <c r="C782" s="33"/>
      <c r="D782" s="33"/>
      <c r="E782" s="33"/>
      <c r="F782" s="33"/>
      <c r="G782" s="33"/>
      <c r="H782" s="33"/>
      <c r="I782" s="33"/>
    </row>
    <row r="783" spans="1:9" s="54" customFormat="1" ht="11.4" customHeight="1" x14ac:dyDescent="0.3">
      <c r="A783" s="33"/>
      <c r="B783" s="33"/>
      <c r="C783" s="33"/>
      <c r="D783" s="33"/>
      <c r="E783" s="33"/>
      <c r="F783" s="33"/>
      <c r="G783" s="33"/>
      <c r="H783" s="33"/>
      <c r="I783" s="33"/>
    </row>
    <row r="784" spans="1:9" s="54" customFormat="1" ht="11.4" customHeight="1" x14ac:dyDescent="0.3">
      <c r="A784" s="33"/>
      <c r="B784" s="33"/>
      <c r="C784" s="33"/>
      <c r="D784" s="33"/>
      <c r="E784" s="33"/>
      <c r="F784" s="33"/>
      <c r="G784" s="33"/>
      <c r="H784" s="33"/>
      <c r="I784" s="33"/>
    </row>
    <row r="785" spans="1:9" s="54" customFormat="1" ht="11.4" customHeight="1" x14ac:dyDescent="0.3">
      <c r="A785" s="33"/>
      <c r="B785" s="33"/>
      <c r="C785" s="33"/>
      <c r="D785" s="33"/>
      <c r="E785" s="33"/>
      <c r="F785" s="33"/>
      <c r="G785" s="33"/>
      <c r="H785" s="33"/>
      <c r="I785" s="33"/>
    </row>
    <row r="786" spans="1:9" s="54" customFormat="1" ht="11.4" customHeight="1" x14ac:dyDescent="0.3">
      <c r="A786" s="33"/>
      <c r="B786" s="33"/>
      <c r="C786" s="33"/>
      <c r="D786" s="33"/>
      <c r="E786" s="33"/>
      <c r="F786" s="33"/>
      <c r="G786" s="33"/>
      <c r="H786" s="33"/>
      <c r="I786" s="33"/>
    </row>
    <row r="787" spans="1:9" s="54" customFormat="1" ht="11.4" customHeight="1" x14ac:dyDescent="0.3">
      <c r="A787" s="33"/>
      <c r="B787" s="33"/>
      <c r="C787" s="33"/>
      <c r="D787" s="33"/>
      <c r="E787" s="33"/>
      <c r="F787" s="33"/>
      <c r="G787" s="33"/>
      <c r="H787" s="33"/>
      <c r="I787" s="33"/>
    </row>
    <row r="788" spans="1:9" s="54" customFormat="1" ht="11.4" customHeight="1" x14ac:dyDescent="0.3">
      <c r="A788" s="33"/>
      <c r="B788" s="33"/>
      <c r="C788" s="33"/>
      <c r="D788" s="33"/>
      <c r="E788" s="33"/>
      <c r="F788" s="33"/>
      <c r="G788" s="33"/>
      <c r="H788" s="33"/>
      <c r="I788" s="33"/>
    </row>
    <row r="789" spans="1:9" s="54" customFormat="1" ht="11.4" customHeight="1" x14ac:dyDescent="0.3">
      <c r="A789" s="33"/>
      <c r="B789" s="33"/>
      <c r="C789" s="33"/>
      <c r="D789" s="33"/>
      <c r="E789" s="33"/>
      <c r="F789" s="33"/>
      <c r="G789" s="33"/>
      <c r="H789" s="33"/>
      <c r="I789" s="33"/>
    </row>
    <row r="790" spans="1:9" s="54" customFormat="1" ht="11.4" customHeight="1" x14ac:dyDescent="0.3">
      <c r="A790" s="33"/>
      <c r="B790" s="33"/>
      <c r="C790" s="33"/>
      <c r="D790" s="33"/>
      <c r="E790" s="33"/>
      <c r="F790" s="33"/>
      <c r="G790" s="33"/>
      <c r="H790" s="33"/>
      <c r="I790" s="33"/>
    </row>
    <row r="791" spans="1:9" s="54" customFormat="1" ht="11.4" customHeight="1" x14ac:dyDescent="0.3">
      <c r="A791" s="33"/>
      <c r="B791" s="33"/>
      <c r="C791" s="33"/>
      <c r="D791" s="33"/>
      <c r="E791" s="33"/>
      <c r="F791" s="33"/>
      <c r="G791" s="33"/>
      <c r="H791" s="33"/>
      <c r="I791" s="33"/>
    </row>
    <row r="792" spans="1:9" s="54" customFormat="1" ht="11.4" customHeight="1" x14ac:dyDescent="0.3">
      <c r="A792" s="33"/>
      <c r="B792" s="33"/>
      <c r="C792" s="33"/>
      <c r="D792" s="33"/>
      <c r="E792" s="33"/>
      <c r="F792" s="33"/>
      <c r="G792" s="33"/>
      <c r="H792" s="33"/>
      <c r="I792" s="33"/>
    </row>
    <row r="793" spans="1:9" s="54" customFormat="1" ht="11.4" customHeight="1" x14ac:dyDescent="0.3">
      <c r="A793" s="33"/>
      <c r="B793" s="33"/>
      <c r="C793" s="33"/>
      <c r="D793" s="33"/>
      <c r="E793" s="33"/>
      <c r="F793" s="33"/>
      <c r="G793" s="33"/>
      <c r="H793" s="33"/>
      <c r="I793" s="33"/>
    </row>
    <row r="794" spans="1:9" s="54" customFormat="1" ht="11.4" customHeight="1" x14ac:dyDescent="0.3">
      <c r="A794" s="33"/>
      <c r="B794" s="33"/>
      <c r="C794" s="33"/>
      <c r="D794" s="33"/>
      <c r="E794" s="33"/>
      <c r="F794" s="33"/>
      <c r="G794" s="33"/>
      <c r="H794" s="33"/>
      <c r="I794" s="33"/>
    </row>
    <row r="795" spans="1:9" s="54" customFormat="1" ht="11.4" customHeight="1" x14ac:dyDescent="0.3">
      <c r="A795" s="33"/>
      <c r="B795" s="33"/>
      <c r="C795" s="33"/>
      <c r="D795" s="33"/>
      <c r="E795" s="33"/>
      <c r="F795" s="33"/>
      <c r="G795" s="33"/>
      <c r="H795" s="33"/>
      <c r="I795" s="33"/>
    </row>
    <row r="796" spans="1:9" s="54" customFormat="1" ht="11.4" customHeight="1" x14ac:dyDescent="0.3">
      <c r="A796" s="33"/>
      <c r="B796" s="33"/>
      <c r="C796" s="33"/>
      <c r="D796" s="33"/>
      <c r="E796" s="33"/>
      <c r="F796" s="33"/>
      <c r="G796" s="33"/>
      <c r="H796" s="33"/>
      <c r="I796" s="33"/>
    </row>
    <row r="797" spans="1:9" s="54" customFormat="1" ht="11.4" customHeight="1" x14ac:dyDescent="0.3">
      <c r="A797" s="33"/>
      <c r="B797" s="33"/>
      <c r="C797" s="33"/>
      <c r="D797" s="33"/>
      <c r="E797" s="33"/>
      <c r="F797" s="33"/>
      <c r="G797" s="33"/>
      <c r="H797" s="33"/>
      <c r="I797" s="33"/>
    </row>
    <row r="798" spans="1:9" s="54" customFormat="1" ht="11.4" customHeight="1" x14ac:dyDescent="0.3">
      <c r="A798" s="33"/>
      <c r="B798" s="33"/>
      <c r="C798" s="33"/>
      <c r="D798" s="33"/>
      <c r="E798" s="33"/>
      <c r="F798" s="33"/>
      <c r="G798" s="33"/>
      <c r="H798" s="33"/>
      <c r="I798" s="33"/>
    </row>
    <row r="799" spans="1:9" s="54" customFormat="1" ht="11.4" customHeight="1" x14ac:dyDescent="0.3">
      <c r="A799" s="33"/>
      <c r="B799" s="33"/>
      <c r="C799" s="33"/>
      <c r="D799" s="33"/>
      <c r="E799" s="33"/>
      <c r="F799" s="33"/>
      <c r="G799" s="33"/>
      <c r="H799" s="33"/>
      <c r="I799" s="33"/>
    </row>
    <row r="800" spans="1:9" s="54" customFormat="1" ht="11.4" customHeight="1" x14ac:dyDescent="0.3">
      <c r="A800" s="33"/>
      <c r="B800" s="33"/>
      <c r="C800" s="33"/>
      <c r="D800" s="33"/>
      <c r="E800" s="33"/>
      <c r="F800" s="33"/>
      <c r="G800" s="33"/>
      <c r="H800" s="33"/>
      <c r="I800" s="33"/>
    </row>
    <row r="801" spans="1:9" s="54" customFormat="1" ht="11.4" customHeight="1" x14ac:dyDescent="0.3">
      <c r="A801" s="33"/>
      <c r="B801" s="33"/>
      <c r="C801" s="33"/>
      <c r="D801" s="33"/>
      <c r="E801" s="33"/>
      <c r="F801" s="33"/>
      <c r="G801" s="33"/>
      <c r="H801" s="33"/>
      <c r="I801" s="33"/>
    </row>
    <row r="802" spans="1:9" s="54" customFormat="1" ht="11.4" customHeight="1" x14ac:dyDescent="0.3">
      <c r="A802" s="33"/>
      <c r="B802" s="33"/>
      <c r="C802" s="33"/>
      <c r="D802" s="33"/>
      <c r="E802" s="33"/>
      <c r="F802" s="33"/>
      <c r="G802" s="33"/>
      <c r="H802" s="33"/>
      <c r="I802" s="33"/>
    </row>
    <row r="803" spans="1:9" s="54" customFormat="1" ht="11.4" customHeight="1" x14ac:dyDescent="0.3">
      <c r="A803" s="33"/>
      <c r="B803" s="33"/>
      <c r="C803" s="33"/>
      <c r="D803" s="33"/>
      <c r="E803" s="33"/>
      <c r="F803" s="33"/>
      <c r="G803" s="33"/>
      <c r="H803" s="33"/>
      <c r="I803" s="33"/>
    </row>
    <row r="804" spans="1:9" s="54" customFormat="1" ht="11.4" customHeight="1" x14ac:dyDescent="0.3">
      <c r="A804" s="33"/>
      <c r="B804" s="33"/>
      <c r="C804" s="33"/>
      <c r="D804" s="33"/>
      <c r="E804" s="33"/>
      <c r="F804" s="33"/>
      <c r="G804" s="33"/>
      <c r="H804" s="33"/>
      <c r="I804" s="33"/>
    </row>
    <row r="805" spans="1:9" s="54" customFormat="1" ht="11.4" customHeight="1" x14ac:dyDescent="0.3">
      <c r="A805" s="33"/>
      <c r="B805" s="33"/>
      <c r="C805" s="33"/>
      <c r="D805" s="33"/>
      <c r="E805" s="33"/>
      <c r="F805" s="33"/>
      <c r="G805" s="33"/>
      <c r="H805" s="33"/>
      <c r="I805" s="33"/>
    </row>
    <row r="806" spans="1:9" s="54" customFormat="1" ht="11.4" customHeight="1" x14ac:dyDescent="0.3">
      <c r="A806" s="33"/>
      <c r="B806" s="33"/>
      <c r="C806" s="33"/>
      <c r="D806" s="33"/>
      <c r="E806" s="33"/>
      <c r="F806" s="33"/>
      <c r="G806" s="33"/>
      <c r="H806" s="33"/>
      <c r="I806" s="33"/>
    </row>
    <row r="807" spans="1:9" s="54" customFormat="1" ht="11.4" customHeight="1" x14ac:dyDescent="0.3">
      <c r="A807" s="33"/>
      <c r="B807" s="33"/>
      <c r="C807" s="33"/>
      <c r="D807" s="33"/>
      <c r="E807" s="33"/>
      <c r="F807" s="33"/>
      <c r="G807" s="33"/>
      <c r="H807" s="33"/>
      <c r="I807" s="33"/>
    </row>
    <row r="808" spans="1:9" s="54" customFormat="1" ht="11.4" customHeight="1" x14ac:dyDescent="0.3">
      <c r="A808" s="33"/>
      <c r="B808" s="33"/>
      <c r="C808" s="33"/>
      <c r="D808" s="33"/>
      <c r="E808" s="33"/>
      <c r="F808" s="33"/>
      <c r="G808" s="33"/>
      <c r="H808" s="33"/>
      <c r="I808" s="33"/>
    </row>
    <row r="809" spans="1:9" s="54" customFormat="1" ht="11.4" customHeight="1" x14ac:dyDescent="0.3">
      <c r="A809" s="33"/>
      <c r="B809" s="33"/>
      <c r="C809" s="33"/>
      <c r="D809" s="33"/>
      <c r="E809" s="33"/>
      <c r="F809" s="33"/>
      <c r="G809" s="33"/>
      <c r="H809" s="33"/>
      <c r="I809" s="33"/>
    </row>
    <row r="810" spans="1:9" s="54" customFormat="1" ht="11.4" customHeight="1" x14ac:dyDescent="0.3">
      <c r="A810" s="33"/>
      <c r="B810" s="33"/>
      <c r="C810" s="33"/>
      <c r="D810" s="33"/>
      <c r="E810" s="33"/>
      <c r="F810" s="33"/>
      <c r="G810" s="33"/>
      <c r="H810" s="33"/>
      <c r="I810" s="33"/>
    </row>
    <row r="811" spans="1:9" s="54" customFormat="1" ht="11.4" customHeight="1" x14ac:dyDescent="0.3">
      <c r="A811" s="33"/>
      <c r="B811" s="33"/>
      <c r="C811" s="33"/>
      <c r="D811" s="33"/>
      <c r="E811" s="33"/>
      <c r="F811" s="33"/>
      <c r="G811" s="33"/>
      <c r="H811" s="33"/>
      <c r="I811" s="33"/>
    </row>
    <row r="812" spans="1:9" s="54" customFormat="1" ht="11.4" customHeight="1" x14ac:dyDescent="0.3">
      <c r="A812" s="33"/>
      <c r="B812" s="33"/>
      <c r="C812" s="33"/>
      <c r="D812" s="33"/>
      <c r="E812" s="33"/>
      <c r="F812" s="33"/>
      <c r="G812" s="33"/>
      <c r="H812" s="33"/>
      <c r="I812" s="33"/>
    </row>
    <row r="813" spans="1:9" s="54" customFormat="1" ht="11.4" customHeight="1" x14ac:dyDescent="0.3">
      <c r="A813" s="33"/>
      <c r="B813" s="33"/>
      <c r="C813" s="33"/>
      <c r="D813" s="33"/>
      <c r="E813" s="33"/>
      <c r="F813" s="33"/>
      <c r="G813" s="33"/>
      <c r="H813" s="33"/>
      <c r="I813" s="33"/>
    </row>
    <row r="814" spans="1:9" s="54" customFormat="1" ht="11.4" customHeight="1" x14ac:dyDescent="0.3">
      <c r="A814" s="33"/>
      <c r="B814" s="33"/>
      <c r="C814" s="33"/>
      <c r="D814" s="33"/>
      <c r="E814" s="33"/>
      <c r="F814" s="33"/>
      <c r="G814" s="33"/>
      <c r="H814" s="33"/>
      <c r="I814" s="33"/>
    </row>
    <row r="815" spans="1:9" s="54" customFormat="1" ht="11.4" customHeight="1" x14ac:dyDescent="0.3">
      <c r="A815" s="33"/>
      <c r="B815" s="33"/>
      <c r="C815" s="33"/>
      <c r="D815" s="33"/>
      <c r="E815" s="33"/>
      <c r="F815" s="33"/>
      <c r="G815" s="33"/>
      <c r="H815" s="33"/>
      <c r="I815" s="33"/>
    </row>
    <row r="816" spans="1:9" s="54" customFormat="1" ht="11.4" customHeight="1" x14ac:dyDescent="0.3">
      <c r="A816" s="33"/>
      <c r="B816" s="33"/>
      <c r="C816" s="33"/>
      <c r="D816" s="33"/>
      <c r="E816" s="33"/>
      <c r="F816" s="33"/>
      <c r="G816" s="33"/>
      <c r="H816" s="33"/>
      <c r="I816" s="33"/>
    </row>
    <row r="817" spans="1:9" s="54" customFormat="1" ht="11.4" customHeight="1" x14ac:dyDescent="0.3">
      <c r="A817" s="33"/>
      <c r="B817" s="33"/>
      <c r="C817" s="33"/>
      <c r="D817" s="33"/>
      <c r="E817" s="33"/>
      <c r="F817" s="33"/>
      <c r="G817" s="33"/>
      <c r="H817" s="33"/>
      <c r="I817" s="33"/>
    </row>
    <row r="818" spans="1:9" s="54" customFormat="1" ht="11.4" customHeight="1" x14ac:dyDescent="0.3">
      <c r="A818" s="33"/>
      <c r="B818" s="33"/>
      <c r="C818" s="33"/>
      <c r="D818" s="33"/>
      <c r="E818" s="33"/>
      <c r="F818" s="33"/>
      <c r="G818" s="33"/>
      <c r="H818" s="33"/>
      <c r="I818" s="33"/>
    </row>
    <row r="819" spans="1:9" s="54" customFormat="1" ht="11.4" customHeight="1" x14ac:dyDescent="0.3">
      <c r="A819" s="33"/>
      <c r="B819" s="33"/>
      <c r="C819" s="33"/>
      <c r="D819" s="33"/>
      <c r="E819" s="33"/>
      <c r="F819" s="33"/>
      <c r="G819" s="33"/>
      <c r="H819" s="33"/>
      <c r="I819" s="33"/>
    </row>
    <row r="820" spans="1:9" s="54" customFormat="1" ht="11.4" customHeight="1" x14ac:dyDescent="0.3">
      <c r="A820" s="33"/>
      <c r="B820" s="33"/>
      <c r="C820" s="33"/>
      <c r="D820" s="33"/>
      <c r="E820" s="33"/>
      <c r="F820" s="33"/>
      <c r="G820" s="33"/>
      <c r="H820" s="33"/>
      <c r="I820" s="33"/>
    </row>
    <row r="821" spans="1:9" s="54" customFormat="1" ht="11.4" customHeight="1" x14ac:dyDescent="0.3">
      <c r="A821" s="33"/>
      <c r="B821" s="33"/>
      <c r="C821" s="33"/>
      <c r="D821" s="33"/>
      <c r="E821" s="33"/>
      <c r="F821" s="33"/>
      <c r="G821" s="33"/>
      <c r="H821" s="33"/>
      <c r="I821" s="33"/>
    </row>
    <row r="822" spans="1:9" s="54" customFormat="1" ht="11.4" customHeight="1" x14ac:dyDescent="0.3">
      <c r="A822" s="33"/>
      <c r="B822" s="33"/>
      <c r="C822" s="33"/>
      <c r="D822" s="33"/>
      <c r="E822" s="33"/>
      <c r="F822" s="33"/>
      <c r="G822" s="33"/>
      <c r="H822" s="33"/>
      <c r="I822" s="33"/>
    </row>
    <row r="823" spans="1:9" s="54" customFormat="1" ht="11.4" customHeight="1" x14ac:dyDescent="0.3">
      <c r="A823" s="33"/>
      <c r="B823" s="33"/>
      <c r="C823" s="33"/>
      <c r="D823" s="33"/>
      <c r="E823" s="33"/>
      <c r="F823" s="33"/>
      <c r="G823" s="33"/>
      <c r="H823" s="33"/>
      <c r="I823" s="33"/>
    </row>
    <row r="824" spans="1:9" s="54" customFormat="1" ht="11.4" customHeight="1" x14ac:dyDescent="0.3">
      <c r="A824" s="33"/>
      <c r="B824" s="33"/>
      <c r="C824" s="33"/>
      <c r="D824" s="33"/>
      <c r="E824" s="33"/>
      <c r="F824" s="33"/>
      <c r="G824" s="33"/>
      <c r="H824" s="33"/>
      <c r="I824" s="33"/>
    </row>
    <row r="825" spans="1:9" s="54" customFormat="1" ht="11.4" customHeight="1" x14ac:dyDescent="0.3">
      <c r="A825" s="33"/>
      <c r="B825" s="33"/>
      <c r="C825" s="33"/>
      <c r="D825" s="33"/>
      <c r="E825" s="33"/>
      <c r="F825" s="33"/>
      <c r="G825" s="33"/>
      <c r="H825" s="33"/>
      <c r="I825" s="33"/>
    </row>
    <row r="826" spans="1:9" s="54" customFormat="1" ht="11.4" customHeight="1" x14ac:dyDescent="0.3">
      <c r="A826" s="33"/>
      <c r="B826" s="33"/>
      <c r="C826" s="33"/>
      <c r="D826" s="33"/>
      <c r="E826" s="33"/>
      <c r="F826" s="33"/>
      <c r="G826" s="33"/>
      <c r="H826" s="33"/>
      <c r="I826" s="33"/>
    </row>
    <row r="827" spans="1:9" s="54" customFormat="1" ht="11.4" customHeight="1" x14ac:dyDescent="0.3">
      <c r="A827" s="33"/>
      <c r="B827" s="33"/>
      <c r="C827" s="33"/>
      <c r="D827" s="33"/>
      <c r="E827" s="33"/>
      <c r="F827" s="33"/>
      <c r="G827" s="33"/>
      <c r="H827" s="33"/>
      <c r="I827" s="33"/>
    </row>
    <row r="828" spans="1:9" s="54" customFormat="1" ht="11.4" customHeight="1" x14ac:dyDescent="0.3">
      <c r="A828" s="33"/>
      <c r="B828" s="33"/>
      <c r="C828" s="33"/>
      <c r="D828" s="33"/>
      <c r="E828" s="33"/>
      <c r="F828" s="33"/>
      <c r="G828" s="33"/>
      <c r="H828" s="33"/>
      <c r="I828" s="33"/>
    </row>
    <row r="829" spans="1:9" s="54" customFormat="1" ht="11.4" customHeight="1" x14ac:dyDescent="0.3">
      <c r="A829" s="33"/>
      <c r="B829" s="33"/>
      <c r="C829" s="33"/>
      <c r="D829" s="33"/>
      <c r="E829" s="33"/>
      <c r="F829" s="33"/>
      <c r="G829" s="33"/>
      <c r="H829" s="33"/>
      <c r="I829" s="33"/>
    </row>
    <row r="830" spans="1:9" s="54" customFormat="1" ht="11.4" customHeight="1" x14ac:dyDescent="0.3">
      <c r="A830" s="33"/>
      <c r="B830" s="33"/>
      <c r="C830" s="33"/>
      <c r="D830" s="33"/>
      <c r="E830" s="33"/>
      <c r="F830" s="33"/>
      <c r="G830" s="33"/>
      <c r="H830" s="33"/>
      <c r="I830" s="33"/>
    </row>
    <row r="831" spans="1:9" s="54" customFormat="1" ht="11.4" customHeight="1" x14ac:dyDescent="0.3">
      <c r="A831" s="33"/>
      <c r="B831" s="33"/>
      <c r="C831" s="33"/>
      <c r="D831" s="33"/>
      <c r="E831" s="33"/>
      <c r="F831" s="33"/>
      <c r="G831" s="33"/>
      <c r="H831" s="33"/>
      <c r="I831" s="33"/>
    </row>
    <row r="832" spans="1:9" s="54" customFormat="1" ht="11.4" customHeight="1" x14ac:dyDescent="0.3">
      <c r="A832" s="33"/>
      <c r="B832" s="33"/>
      <c r="C832" s="33"/>
      <c r="D832" s="33"/>
      <c r="E832" s="33"/>
      <c r="F832" s="33"/>
      <c r="G832" s="33"/>
      <c r="H832" s="33"/>
      <c r="I832" s="33"/>
    </row>
    <row r="833" spans="1:9" s="54" customFormat="1" ht="11.4" customHeight="1" x14ac:dyDescent="0.3">
      <c r="A833" s="33"/>
      <c r="B833" s="33"/>
      <c r="C833" s="33"/>
      <c r="D833" s="33"/>
      <c r="E833" s="33"/>
      <c r="F833" s="33"/>
      <c r="G833" s="33"/>
      <c r="H833" s="33"/>
      <c r="I833" s="33"/>
    </row>
    <row r="834" spans="1:9" s="54" customFormat="1" ht="11.4" customHeight="1" x14ac:dyDescent="0.3">
      <c r="A834" s="33"/>
      <c r="B834" s="33"/>
      <c r="C834" s="33"/>
      <c r="D834" s="33"/>
      <c r="E834" s="33"/>
      <c r="F834" s="33"/>
      <c r="G834" s="33"/>
      <c r="H834" s="33"/>
      <c r="I834" s="33"/>
    </row>
    <row r="835" spans="1:9" s="54" customFormat="1" ht="11.4" customHeight="1" x14ac:dyDescent="0.3">
      <c r="A835" s="33"/>
      <c r="B835" s="33"/>
      <c r="C835" s="33"/>
      <c r="D835" s="33"/>
      <c r="E835" s="33"/>
      <c r="F835" s="33"/>
      <c r="G835" s="33"/>
      <c r="H835" s="33"/>
      <c r="I835" s="33"/>
    </row>
    <row r="836" spans="1:9" s="54" customFormat="1" ht="11.4" customHeight="1" x14ac:dyDescent="0.3">
      <c r="A836" s="33"/>
      <c r="B836" s="33"/>
      <c r="C836" s="33"/>
      <c r="D836" s="33"/>
      <c r="E836" s="33"/>
      <c r="F836" s="33"/>
      <c r="G836" s="33"/>
      <c r="H836" s="33"/>
      <c r="I836" s="33"/>
    </row>
    <row r="837" spans="1:9" s="54" customFormat="1" ht="11.4" customHeight="1" x14ac:dyDescent="0.3">
      <c r="A837" s="33"/>
      <c r="B837" s="33"/>
      <c r="C837" s="33"/>
      <c r="D837" s="33"/>
      <c r="E837" s="33"/>
      <c r="F837" s="33"/>
      <c r="G837" s="33"/>
      <c r="H837" s="33"/>
      <c r="I837" s="33"/>
    </row>
    <row r="838" spans="1:9" s="54" customFormat="1" ht="11.4" customHeight="1" x14ac:dyDescent="0.3">
      <c r="A838" s="33"/>
      <c r="B838" s="33"/>
      <c r="C838" s="33"/>
      <c r="D838" s="33"/>
      <c r="E838" s="33"/>
      <c r="F838" s="33"/>
      <c r="G838" s="33"/>
      <c r="H838" s="33"/>
      <c r="I838" s="33"/>
    </row>
    <row r="839" spans="1:9" s="54" customFormat="1" ht="11.4" customHeight="1" x14ac:dyDescent="0.3">
      <c r="A839" s="33"/>
      <c r="B839" s="33"/>
      <c r="C839" s="33"/>
      <c r="D839" s="33"/>
      <c r="E839" s="33"/>
      <c r="F839" s="33"/>
      <c r="G839" s="33"/>
      <c r="H839" s="33"/>
      <c r="I839" s="33"/>
    </row>
    <row r="840" spans="1:9" s="54" customFormat="1" ht="11.4" customHeight="1" x14ac:dyDescent="0.3">
      <c r="A840" s="33"/>
      <c r="B840" s="33"/>
      <c r="C840" s="33"/>
      <c r="D840" s="33"/>
      <c r="E840" s="33"/>
      <c r="F840" s="33"/>
      <c r="G840" s="33"/>
      <c r="H840" s="33"/>
      <c r="I840" s="33"/>
    </row>
    <row r="841" spans="1:9" s="54" customFormat="1" ht="11.4" customHeight="1" x14ac:dyDescent="0.3">
      <c r="A841" s="33"/>
      <c r="B841" s="33"/>
      <c r="C841" s="33"/>
      <c r="D841" s="33"/>
      <c r="E841" s="33"/>
      <c r="F841" s="33"/>
      <c r="G841" s="33"/>
      <c r="H841" s="33"/>
      <c r="I841" s="33"/>
    </row>
    <row r="842" spans="1:9" s="54" customFormat="1" ht="11.4" customHeight="1" x14ac:dyDescent="0.3">
      <c r="A842" s="33"/>
      <c r="B842" s="33"/>
      <c r="C842" s="33"/>
      <c r="D842" s="33"/>
      <c r="E842" s="33"/>
      <c r="F842" s="33"/>
      <c r="G842" s="33"/>
      <c r="H842" s="33"/>
      <c r="I842" s="33"/>
    </row>
    <row r="843" spans="1:9" s="54" customFormat="1" ht="11.4" customHeight="1" x14ac:dyDescent="0.3">
      <c r="A843" s="33"/>
      <c r="B843" s="33"/>
      <c r="C843" s="33"/>
      <c r="D843" s="33"/>
      <c r="E843" s="33"/>
      <c r="F843" s="33"/>
      <c r="G843" s="33"/>
      <c r="H843" s="33"/>
      <c r="I843" s="33"/>
    </row>
    <row r="844" spans="1:9" s="54" customFormat="1" ht="11.4" customHeight="1" x14ac:dyDescent="0.3">
      <c r="A844" s="33"/>
      <c r="B844" s="33"/>
      <c r="C844" s="33"/>
      <c r="D844" s="33"/>
      <c r="E844" s="33"/>
      <c r="F844" s="33"/>
      <c r="G844" s="33"/>
      <c r="H844" s="33"/>
      <c r="I844" s="33"/>
    </row>
    <row r="845" spans="1:9" s="54" customFormat="1" ht="11.4" customHeight="1" x14ac:dyDescent="0.3">
      <c r="A845" s="33"/>
      <c r="B845" s="33"/>
      <c r="C845" s="33"/>
      <c r="D845" s="33"/>
      <c r="E845" s="33"/>
      <c r="F845" s="33"/>
      <c r="G845" s="33"/>
      <c r="H845" s="33"/>
      <c r="I845" s="33"/>
    </row>
    <row r="846" spans="1:9" s="54" customFormat="1" ht="11.4" customHeight="1" x14ac:dyDescent="0.3">
      <c r="A846" s="33"/>
      <c r="B846" s="33"/>
      <c r="C846" s="33"/>
      <c r="D846" s="33"/>
      <c r="E846" s="33"/>
      <c r="F846" s="33"/>
      <c r="G846" s="33"/>
      <c r="H846" s="33"/>
      <c r="I846" s="33"/>
    </row>
    <row r="847" spans="1:9" s="54" customFormat="1" ht="11.4" customHeight="1" x14ac:dyDescent="0.3">
      <c r="A847" s="33"/>
      <c r="B847" s="33"/>
      <c r="C847" s="33"/>
      <c r="D847" s="33"/>
      <c r="E847" s="33"/>
      <c r="F847" s="33"/>
      <c r="G847" s="33"/>
      <c r="H847" s="33"/>
      <c r="I847" s="33"/>
    </row>
    <row r="848" spans="1:9" s="54" customFormat="1" ht="11.4" customHeight="1" x14ac:dyDescent="0.3">
      <c r="A848" s="33"/>
      <c r="B848" s="33"/>
      <c r="C848" s="33"/>
      <c r="D848" s="33"/>
      <c r="E848" s="33"/>
      <c r="F848" s="33"/>
      <c r="G848" s="33"/>
      <c r="H848" s="33"/>
      <c r="I848" s="33"/>
    </row>
    <row r="849" spans="1:9" s="54" customFormat="1" ht="11.4" customHeight="1" x14ac:dyDescent="0.3">
      <c r="A849" s="33"/>
      <c r="B849" s="33"/>
      <c r="C849" s="33"/>
      <c r="D849" s="33"/>
      <c r="E849" s="33"/>
      <c r="F849" s="33"/>
      <c r="G849" s="33"/>
      <c r="H849" s="33"/>
      <c r="I849" s="33"/>
    </row>
    <row r="850" spans="1:9" s="54" customFormat="1" ht="11.4" customHeight="1" x14ac:dyDescent="0.3">
      <c r="A850" s="33"/>
      <c r="B850" s="33"/>
      <c r="C850" s="33"/>
      <c r="D850" s="33"/>
      <c r="E850" s="33"/>
      <c r="F850" s="33"/>
      <c r="G850" s="33"/>
      <c r="H850" s="33"/>
      <c r="I850" s="33"/>
    </row>
    <row r="851" spans="1:9" s="54" customFormat="1" ht="11.4" customHeight="1" x14ac:dyDescent="0.3">
      <c r="A851" s="33"/>
      <c r="B851" s="33"/>
      <c r="C851" s="33"/>
      <c r="D851" s="33"/>
      <c r="E851" s="33"/>
      <c r="F851" s="33"/>
      <c r="G851" s="33"/>
      <c r="H851" s="33"/>
      <c r="I851" s="33"/>
    </row>
    <row r="852" spans="1:9" s="54" customFormat="1" ht="11.4" customHeight="1" x14ac:dyDescent="0.3">
      <c r="A852" s="33"/>
      <c r="B852" s="33"/>
      <c r="C852" s="33"/>
      <c r="D852" s="33"/>
      <c r="E852" s="33"/>
      <c r="F852" s="33"/>
      <c r="G852" s="33"/>
      <c r="H852" s="33"/>
      <c r="I852" s="33"/>
    </row>
    <row r="853" spans="1:9" s="54" customFormat="1" ht="11.4" customHeight="1" x14ac:dyDescent="0.3">
      <c r="A853" s="33"/>
      <c r="B853" s="33"/>
      <c r="C853" s="33"/>
      <c r="D853" s="33"/>
      <c r="E853" s="33"/>
      <c r="F853" s="33"/>
      <c r="G853" s="33"/>
      <c r="H853" s="33"/>
      <c r="I853" s="33"/>
    </row>
    <row r="854" spans="1:9" s="54" customFormat="1" ht="11.4" customHeight="1" x14ac:dyDescent="0.3">
      <c r="A854" s="33"/>
      <c r="B854" s="33"/>
      <c r="C854" s="33"/>
      <c r="D854" s="33"/>
      <c r="E854" s="33"/>
      <c r="F854" s="33"/>
      <c r="G854" s="33"/>
      <c r="H854" s="33"/>
      <c r="I854" s="33"/>
    </row>
    <row r="855" spans="1:9" s="54" customFormat="1" ht="11.4" customHeight="1" x14ac:dyDescent="0.3">
      <c r="A855" s="33"/>
      <c r="B855" s="33"/>
      <c r="C855" s="33"/>
      <c r="D855" s="33"/>
      <c r="E855" s="33"/>
      <c r="F855" s="33"/>
      <c r="G855" s="33"/>
      <c r="H855" s="33"/>
      <c r="I855" s="33"/>
    </row>
    <row r="856" spans="1:9" s="54" customFormat="1" ht="11.4" customHeight="1" x14ac:dyDescent="0.3">
      <c r="A856" s="33"/>
      <c r="B856" s="33"/>
      <c r="C856" s="33"/>
      <c r="D856" s="33"/>
      <c r="E856" s="33"/>
      <c r="F856" s="33"/>
      <c r="G856" s="33"/>
      <c r="H856" s="33"/>
      <c r="I856" s="33"/>
    </row>
    <row r="857" spans="1:9" s="54" customFormat="1" ht="11.4" customHeight="1" x14ac:dyDescent="0.3">
      <c r="A857" s="33"/>
      <c r="B857" s="33"/>
      <c r="C857" s="33"/>
      <c r="D857" s="33"/>
      <c r="E857" s="33"/>
      <c r="F857" s="33"/>
      <c r="G857" s="33"/>
      <c r="H857" s="33"/>
      <c r="I857" s="33"/>
    </row>
    <row r="858" spans="1:9" s="54" customFormat="1" ht="11.4" customHeight="1" x14ac:dyDescent="0.3">
      <c r="A858" s="33"/>
      <c r="B858" s="33"/>
      <c r="C858" s="33"/>
      <c r="D858" s="33"/>
      <c r="E858" s="33"/>
      <c r="F858" s="33"/>
      <c r="G858" s="33"/>
      <c r="H858" s="33"/>
      <c r="I858" s="33"/>
    </row>
    <row r="859" spans="1:9" s="54" customFormat="1" ht="11.4" customHeight="1" x14ac:dyDescent="0.3">
      <c r="A859" s="33"/>
      <c r="B859" s="33"/>
      <c r="C859" s="33"/>
      <c r="D859" s="33"/>
      <c r="E859" s="33"/>
      <c r="F859" s="33"/>
      <c r="G859" s="33"/>
      <c r="H859" s="33"/>
      <c r="I859" s="33"/>
    </row>
    <row r="860" spans="1:9" s="54" customFormat="1" ht="11.4" customHeight="1" x14ac:dyDescent="0.3">
      <c r="A860" s="33"/>
      <c r="B860" s="33"/>
      <c r="C860" s="33"/>
      <c r="D860" s="33"/>
      <c r="E860" s="33"/>
      <c r="F860" s="33"/>
      <c r="G860" s="33"/>
      <c r="H860" s="33"/>
      <c r="I860" s="33"/>
    </row>
    <row r="861" spans="1:9" s="54" customFormat="1" ht="11.4" customHeight="1" x14ac:dyDescent="0.3">
      <c r="A861" s="33"/>
      <c r="B861" s="33"/>
      <c r="C861" s="33"/>
      <c r="D861" s="33"/>
      <c r="E861" s="33"/>
      <c r="F861" s="33"/>
      <c r="G861" s="33"/>
      <c r="H861" s="33"/>
      <c r="I861" s="33"/>
    </row>
    <row r="862" spans="1:9" s="54" customFormat="1" ht="11.4" customHeight="1" x14ac:dyDescent="0.3">
      <c r="A862" s="33"/>
      <c r="B862" s="33"/>
      <c r="C862" s="33"/>
      <c r="D862" s="33"/>
      <c r="E862" s="33"/>
      <c r="F862" s="33"/>
      <c r="G862" s="33"/>
      <c r="H862" s="33"/>
      <c r="I862" s="33"/>
    </row>
    <row r="863" spans="1:9" s="54" customFormat="1" ht="11.4" customHeight="1" x14ac:dyDescent="0.3">
      <c r="A863" s="33"/>
      <c r="B863" s="33"/>
      <c r="C863" s="33"/>
      <c r="D863" s="33"/>
      <c r="E863" s="33"/>
      <c r="F863" s="33"/>
      <c r="G863" s="33"/>
      <c r="H863" s="33"/>
      <c r="I863" s="33"/>
    </row>
    <row r="864" spans="1:9" s="54" customFormat="1" ht="11.4" customHeight="1" x14ac:dyDescent="0.3">
      <c r="A864" s="33"/>
      <c r="B864" s="33"/>
      <c r="C864" s="33"/>
      <c r="D864" s="33"/>
      <c r="E864" s="33"/>
      <c r="F864" s="33"/>
      <c r="G864" s="33"/>
      <c r="H864" s="33"/>
      <c r="I864" s="33"/>
    </row>
    <row r="865" spans="1:9" s="54" customFormat="1" ht="11.4" customHeight="1" x14ac:dyDescent="0.3">
      <c r="A865" s="33"/>
      <c r="B865" s="33"/>
      <c r="C865" s="33"/>
      <c r="D865" s="33"/>
      <c r="E865" s="33"/>
      <c r="F865" s="33"/>
      <c r="G865" s="33"/>
      <c r="H865" s="33"/>
      <c r="I865" s="33"/>
    </row>
    <row r="866" spans="1:9" s="54" customFormat="1" ht="11.4" customHeight="1" x14ac:dyDescent="0.3">
      <c r="A866" s="33"/>
      <c r="B866" s="33"/>
      <c r="C866" s="33"/>
      <c r="D866" s="33"/>
      <c r="E866" s="33"/>
      <c r="F866" s="33"/>
      <c r="G866" s="33"/>
      <c r="H866" s="33"/>
      <c r="I866" s="33"/>
    </row>
    <row r="867" spans="1:9" s="54" customFormat="1" ht="11.4" customHeight="1" x14ac:dyDescent="0.3">
      <c r="A867" s="33"/>
      <c r="B867" s="33"/>
      <c r="C867" s="33"/>
      <c r="D867" s="33"/>
      <c r="E867" s="33"/>
      <c r="F867" s="33"/>
      <c r="G867" s="33"/>
      <c r="H867" s="33"/>
      <c r="I867" s="33"/>
    </row>
    <row r="868" spans="1:9" s="54" customFormat="1" ht="11.4" customHeight="1" x14ac:dyDescent="0.3">
      <c r="A868" s="33"/>
      <c r="B868" s="33"/>
      <c r="C868" s="33"/>
      <c r="D868" s="33"/>
      <c r="E868" s="33"/>
      <c r="F868" s="33"/>
      <c r="G868" s="33"/>
      <c r="H868" s="33"/>
      <c r="I868" s="33"/>
    </row>
    <row r="869" spans="1:9" s="54" customFormat="1" ht="11.4" customHeight="1" x14ac:dyDescent="0.3">
      <c r="A869" s="33"/>
      <c r="B869" s="33"/>
      <c r="C869" s="33"/>
      <c r="D869" s="33"/>
      <c r="E869" s="33"/>
      <c r="F869" s="33"/>
      <c r="G869" s="33"/>
      <c r="H869" s="33"/>
      <c r="I869" s="33"/>
    </row>
    <row r="870" spans="1:9" s="54" customFormat="1" ht="11.4" customHeight="1" x14ac:dyDescent="0.3">
      <c r="A870" s="33"/>
      <c r="B870" s="33"/>
      <c r="C870" s="33"/>
      <c r="D870" s="33"/>
      <c r="E870" s="33"/>
      <c r="F870" s="33"/>
      <c r="G870" s="33"/>
      <c r="H870" s="33"/>
      <c r="I870" s="33"/>
    </row>
    <row r="871" spans="1:9" s="54" customFormat="1" ht="11.4" customHeight="1" x14ac:dyDescent="0.3">
      <c r="A871" s="33"/>
      <c r="B871" s="33"/>
      <c r="C871" s="33"/>
      <c r="D871" s="33"/>
      <c r="E871" s="33"/>
      <c r="F871" s="33"/>
      <c r="G871" s="33"/>
      <c r="H871" s="33"/>
      <c r="I871" s="33"/>
    </row>
    <row r="872" spans="1:9" s="54" customFormat="1" ht="11.4" customHeight="1" x14ac:dyDescent="0.3">
      <c r="A872" s="33"/>
      <c r="B872" s="33"/>
      <c r="C872" s="33"/>
      <c r="D872" s="33"/>
      <c r="E872" s="33"/>
      <c r="F872" s="33"/>
      <c r="G872" s="33"/>
      <c r="H872" s="33"/>
      <c r="I872" s="33"/>
    </row>
    <row r="873" spans="1:9" s="54" customFormat="1" ht="11.4" customHeight="1" x14ac:dyDescent="0.3">
      <c r="A873" s="33"/>
      <c r="B873" s="33"/>
      <c r="C873" s="33"/>
      <c r="D873" s="33"/>
      <c r="E873" s="33"/>
      <c r="F873" s="33"/>
      <c r="G873" s="33"/>
      <c r="H873" s="33"/>
      <c r="I873" s="33"/>
    </row>
    <row r="874" spans="1:9" s="54" customFormat="1" ht="11.4" customHeight="1" x14ac:dyDescent="0.3">
      <c r="A874" s="33"/>
      <c r="B874" s="33"/>
      <c r="C874" s="33"/>
      <c r="D874" s="33"/>
      <c r="E874" s="33"/>
      <c r="F874" s="33"/>
      <c r="G874" s="33"/>
      <c r="H874" s="33"/>
      <c r="I874" s="33"/>
    </row>
    <row r="875" spans="1:9" s="54" customFormat="1" ht="11.4" customHeight="1" x14ac:dyDescent="0.3">
      <c r="A875" s="33"/>
      <c r="B875" s="33"/>
      <c r="C875" s="33"/>
      <c r="D875" s="33"/>
      <c r="E875" s="33"/>
      <c r="F875" s="33"/>
      <c r="G875" s="33"/>
      <c r="H875" s="33"/>
      <c r="I875" s="33"/>
    </row>
    <row r="876" spans="1:9" s="54" customFormat="1" ht="11.4" customHeight="1" x14ac:dyDescent="0.3">
      <c r="A876" s="33"/>
      <c r="B876" s="33"/>
      <c r="C876" s="33"/>
      <c r="D876" s="33"/>
      <c r="E876" s="33"/>
      <c r="F876" s="33"/>
      <c r="G876" s="33"/>
      <c r="H876" s="33"/>
      <c r="I876" s="33"/>
    </row>
    <row r="877" spans="1:9" s="54" customFormat="1" ht="11.4" customHeight="1" x14ac:dyDescent="0.3">
      <c r="A877" s="33"/>
      <c r="B877" s="33"/>
      <c r="C877" s="33"/>
      <c r="D877" s="33"/>
      <c r="E877" s="33"/>
      <c r="F877" s="33"/>
      <c r="G877" s="33"/>
      <c r="H877" s="33"/>
      <c r="I877" s="33"/>
    </row>
    <row r="878" spans="1:9" s="54" customFormat="1" ht="11.4" customHeight="1" x14ac:dyDescent="0.3">
      <c r="A878" s="33"/>
      <c r="B878" s="33"/>
      <c r="C878" s="33"/>
      <c r="D878" s="33"/>
      <c r="E878" s="33"/>
      <c r="F878" s="33"/>
      <c r="G878" s="33"/>
      <c r="H878" s="33"/>
      <c r="I878" s="33"/>
    </row>
    <row r="879" spans="1:9" s="54" customFormat="1" ht="11.4" customHeight="1" x14ac:dyDescent="0.3">
      <c r="A879" s="33"/>
      <c r="B879" s="33"/>
      <c r="C879" s="33"/>
      <c r="D879" s="33"/>
      <c r="E879" s="33"/>
      <c r="F879" s="33"/>
      <c r="G879" s="33"/>
      <c r="H879" s="33"/>
      <c r="I879" s="33"/>
    </row>
    <row r="880" spans="1:9" s="54" customFormat="1" ht="11.4" customHeight="1" x14ac:dyDescent="0.3">
      <c r="A880" s="33"/>
      <c r="B880" s="33"/>
      <c r="C880" s="33"/>
      <c r="D880" s="33"/>
      <c r="E880" s="33"/>
      <c r="F880" s="33"/>
      <c r="G880" s="33"/>
      <c r="H880" s="33"/>
      <c r="I880" s="33"/>
    </row>
    <row r="881" spans="1:9" s="54" customFormat="1" ht="11.4" customHeight="1" x14ac:dyDescent="0.3">
      <c r="A881" s="33"/>
      <c r="B881" s="33"/>
      <c r="C881" s="33"/>
      <c r="D881" s="33"/>
      <c r="E881" s="33"/>
      <c r="F881" s="33"/>
      <c r="G881" s="33"/>
      <c r="H881" s="33"/>
      <c r="I881" s="33"/>
    </row>
    <row r="882" spans="1:9" s="54" customFormat="1" ht="11.4" customHeight="1" x14ac:dyDescent="0.3">
      <c r="A882" s="33"/>
      <c r="B882" s="33"/>
      <c r="C882" s="33"/>
      <c r="D882" s="33"/>
      <c r="E882" s="33"/>
      <c r="F882" s="33"/>
      <c r="G882" s="33"/>
      <c r="H882" s="33"/>
      <c r="I882" s="33"/>
    </row>
    <row r="883" spans="1:9" s="54" customFormat="1" ht="11.4" customHeight="1" x14ac:dyDescent="0.3">
      <c r="A883" s="33"/>
      <c r="B883" s="33"/>
      <c r="C883" s="33"/>
      <c r="D883" s="33"/>
      <c r="E883" s="33"/>
      <c r="F883" s="33"/>
      <c r="G883" s="33"/>
      <c r="H883" s="33"/>
      <c r="I883" s="33"/>
    </row>
    <row r="884" spans="1:9" s="54" customFormat="1" ht="11.4" customHeight="1" x14ac:dyDescent="0.3">
      <c r="A884" s="33"/>
      <c r="B884" s="33"/>
      <c r="C884" s="33"/>
      <c r="D884" s="33"/>
      <c r="E884" s="33"/>
      <c r="F884" s="33"/>
      <c r="G884" s="33"/>
      <c r="H884" s="33"/>
      <c r="I884" s="33"/>
    </row>
    <row r="885" spans="1:9" s="54" customFormat="1" ht="11.4" customHeight="1" x14ac:dyDescent="0.3">
      <c r="A885" s="33"/>
      <c r="B885" s="33"/>
      <c r="C885" s="33"/>
      <c r="D885" s="33"/>
      <c r="E885" s="33"/>
      <c r="F885" s="33"/>
      <c r="G885" s="33"/>
      <c r="H885" s="33"/>
      <c r="I885" s="33"/>
    </row>
    <row r="886" spans="1:9" s="54" customFormat="1" ht="11.4" customHeight="1" x14ac:dyDescent="0.3">
      <c r="A886" s="33"/>
      <c r="B886" s="33"/>
      <c r="C886" s="33"/>
      <c r="D886" s="33"/>
      <c r="E886" s="33"/>
      <c r="F886" s="33"/>
      <c r="G886" s="33"/>
      <c r="H886" s="33"/>
      <c r="I886" s="33"/>
    </row>
    <row r="887" spans="1:9" s="54" customFormat="1" ht="11.4" customHeight="1" x14ac:dyDescent="0.3">
      <c r="A887" s="33"/>
      <c r="B887" s="33"/>
      <c r="C887" s="33"/>
      <c r="D887" s="33"/>
      <c r="E887" s="33"/>
      <c r="F887" s="33"/>
      <c r="G887" s="33"/>
      <c r="H887" s="33"/>
      <c r="I887" s="33"/>
    </row>
    <row r="888" spans="1:9" s="54" customFormat="1" ht="11.4" customHeight="1" x14ac:dyDescent="0.3">
      <c r="A888" s="33"/>
      <c r="B888" s="33"/>
      <c r="C888" s="33"/>
      <c r="D888" s="33"/>
      <c r="E888" s="33"/>
      <c r="F888" s="33"/>
      <c r="G888" s="33"/>
      <c r="H888" s="33"/>
      <c r="I888" s="33"/>
    </row>
    <row r="889" spans="1:9" s="54" customFormat="1" ht="11.4" customHeight="1" x14ac:dyDescent="0.3">
      <c r="A889" s="33"/>
      <c r="B889" s="33"/>
      <c r="C889" s="33"/>
      <c r="D889" s="33"/>
      <c r="E889" s="33"/>
      <c r="F889" s="33"/>
      <c r="G889" s="33"/>
      <c r="H889" s="33"/>
      <c r="I889" s="33"/>
    </row>
    <row r="890" spans="1:9" s="54" customFormat="1" ht="11.4" customHeight="1" x14ac:dyDescent="0.3">
      <c r="A890" s="33"/>
      <c r="B890" s="33"/>
      <c r="C890" s="33"/>
      <c r="D890" s="33"/>
      <c r="E890" s="33"/>
      <c r="F890" s="33"/>
      <c r="G890" s="33"/>
      <c r="H890" s="33"/>
      <c r="I890" s="33"/>
    </row>
    <row r="891" spans="1:9" s="54" customFormat="1" ht="11.4" customHeight="1" x14ac:dyDescent="0.3">
      <c r="A891" s="33"/>
      <c r="B891" s="33"/>
      <c r="C891" s="33"/>
      <c r="D891" s="33"/>
      <c r="E891" s="33"/>
      <c r="F891" s="33"/>
      <c r="G891" s="33"/>
      <c r="H891" s="33"/>
      <c r="I891" s="33"/>
    </row>
    <row r="892" spans="1:9" s="54" customFormat="1" ht="11.4" customHeight="1" x14ac:dyDescent="0.3">
      <c r="A892" s="33"/>
      <c r="B892" s="33"/>
      <c r="C892" s="33"/>
      <c r="D892" s="33"/>
      <c r="E892" s="33"/>
      <c r="F892" s="33"/>
      <c r="G892" s="33"/>
      <c r="H892" s="33"/>
      <c r="I892" s="33"/>
    </row>
    <row r="893" spans="1:9" s="54" customFormat="1" ht="11.4" customHeight="1" x14ac:dyDescent="0.3">
      <c r="A893" s="33"/>
      <c r="B893" s="33"/>
      <c r="C893" s="33"/>
      <c r="D893" s="33"/>
      <c r="E893" s="33"/>
      <c r="F893" s="33"/>
      <c r="G893" s="33"/>
      <c r="H893" s="33"/>
      <c r="I893" s="33"/>
    </row>
    <row r="894" spans="1:9" s="54" customFormat="1" ht="11.4" customHeight="1" x14ac:dyDescent="0.3">
      <c r="A894" s="33"/>
      <c r="B894" s="33"/>
      <c r="C894" s="33"/>
      <c r="D894" s="33"/>
      <c r="E894" s="33"/>
      <c r="F894" s="33"/>
      <c r="G894" s="33"/>
      <c r="H894" s="33"/>
      <c r="I894" s="33"/>
    </row>
    <row r="895" spans="1:9" s="54" customFormat="1" ht="11.4" customHeight="1" x14ac:dyDescent="0.3">
      <c r="A895" s="33"/>
      <c r="B895" s="33"/>
      <c r="C895" s="33"/>
      <c r="D895" s="33"/>
      <c r="E895" s="33"/>
      <c r="F895" s="33"/>
      <c r="G895" s="33"/>
      <c r="H895" s="33"/>
      <c r="I895" s="33"/>
    </row>
    <row r="896" spans="1:9" s="54" customFormat="1" ht="11.4" customHeight="1" x14ac:dyDescent="0.3">
      <c r="A896" s="33"/>
      <c r="B896" s="33"/>
      <c r="C896" s="33"/>
      <c r="D896" s="33"/>
      <c r="E896" s="33"/>
      <c r="F896" s="33"/>
      <c r="G896" s="33"/>
      <c r="H896" s="33"/>
      <c r="I896" s="33"/>
    </row>
    <row r="897" spans="1:9" s="54" customFormat="1" ht="11.4" customHeight="1" x14ac:dyDescent="0.3">
      <c r="A897" s="33"/>
      <c r="B897" s="33"/>
      <c r="C897" s="33"/>
      <c r="D897" s="33"/>
      <c r="E897" s="33"/>
      <c r="F897" s="33"/>
      <c r="G897" s="33"/>
      <c r="H897" s="33"/>
      <c r="I897" s="33"/>
    </row>
    <row r="898" spans="1:9" s="54" customFormat="1" ht="11.4" customHeight="1" x14ac:dyDescent="0.3">
      <c r="A898" s="33"/>
      <c r="B898" s="33"/>
      <c r="C898" s="33"/>
      <c r="D898" s="33"/>
      <c r="E898" s="33"/>
      <c r="F898" s="33"/>
      <c r="G898" s="33"/>
      <c r="H898" s="33"/>
      <c r="I898" s="33"/>
    </row>
    <row r="899" spans="1:9" s="54" customFormat="1" ht="11.4" customHeight="1" x14ac:dyDescent="0.3">
      <c r="A899" s="33"/>
      <c r="B899" s="33"/>
      <c r="C899" s="33"/>
      <c r="D899" s="33"/>
      <c r="E899" s="33"/>
      <c r="F899" s="33"/>
      <c r="G899" s="33"/>
      <c r="H899" s="33"/>
      <c r="I899" s="33"/>
    </row>
    <row r="900" spans="1:9" s="54" customFormat="1" ht="11.4" customHeight="1" x14ac:dyDescent="0.3">
      <c r="A900" s="33"/>
      <c r="B900" s="33"/>
      <c r="C900" s="33"/>
      <c r="D900" s="33"/>
      <c r="E900" s="33"/>
      <c r="F900" s="33"/>
      <c r="G900" s="33"/>
      <c r="H900" s="33"/>
      <c r="I900" s="33"/>
    </row>
    <row r="901" spans="1:9" s="54" customFormat="1" ht="11.4" customHeight="1" x14ac:dyDescent="0.3">
      <c r="A901" s="33"/>
      <c r="B901" s="33"/>
      <c r="C901" s="33"/>
      <c r="D901" s="33"/>
      <c r="E901" s="33"/>
      <c r="F901" s="33"/>
      <c r="G901" s="33"/>
      <c r="H901" s="33"/>
      <c r="I901" s="33"/>
    </row>
    <row r="902" spans="1:9" s="54" customFormat="1" ht="11.4" customHeight="1" x14ac:dyDescent="0.3">
      <c r="A902" s="33"/>
      <c r="B902" s="33"/>
      <c r="C902" s="33"/>
      <c r="D902" s="33"/>
      <c r="E902" s="33"/>
      <c r="F902" s="33"/>
      <c r="G902" s="33"/>
      <c r="H902" s="33"/>
      <c r="I902" s="33"/>
    </row>
    <row r="903" spans="1:9" s="54" customFormat="1" ht="11.4" customHeight="1" x14ac:dyDescent="0.3">
      <c r="A903" s="33"/>
      <c r="B903" s="33"/>
      <c r="C903" s="33"/>
      <c r="D903" s="33"/>
      <c r="E903" s="33"/>
      <c r="F903" s="33"/>
      <c r="G903" s="33"/>
      <c r="H903" s="33"/>
      <c r="I903" s="33"/>
    </row>
    <row r="904" spans="1:9" s="54" customFormat="1" ht="11.4" customHeight="1" x14ac:dyDescent="0.3">
      <c r="A904" s="33"/>
      <c r="B904" s="33"/>
      <c r="C904" s="33"/>
      <c r="D904" s="33"/>
      <c r="E904" s="33"/>
      <c r="F904" s="33"/>
      <c r="G904" s="33"/>
      <c r="H904" s="33"/>
      <c r="I904" s="33"/>
    </row>
    <row r="905" spans="1:9" s="54" customFormat="1" ht="11.4" customHeight="1" x14ac:dyDescent="0.3">
      <c r="A905" s="33"/>
      <c r="B905" s="33"/>
      <c r="C905" s="33"/>
      <c r="D905" s="33"/>
      <c r="E905" s="33"/>
      <c r="F905" s="33"/>
      <c r="G905" s="33"/>
      <c r="H905" s="33"/>
      <c r="I905" s="33"/>
    </row>
    <row r="906" spans="1:9" s="54" customFormat="1" ht="11.4" customHeight="1" x14ac:dyDescent="0.3">
      <c r="A906" s="33"/>
      <c r="B906" s="33"/>
      <c r="C906" s="33"/>
      <c r="D906" s="33"/>
      <c r="E906" s="33"/>
      <c r="F906" s="33"/>
      <c r="G906" s="33"/>
      <c r="H906" s="33"/>
      <c r="I906" s="33"/>
    </row>
    <row r="907" spans="1:9" s="54" customFormat="1" ht="11.4" customHeight="1" x14ac:dyDescent="0.3">
      <c r="A907" s="33"/>
      <c r="B907" s="33"/>
      <c r="C907" s="33"/>
      <c r="D907" s="33"/>
      <c r="E907" s="33"/>
      <c r="F907" s="33"/>
      <c r="G907" s="33"/>
      <c r="H907" s="33"/>
      <c r="I907" s="33"/>
    </row>
    <row r="908" spans="1:9" s="54" customFormat="1" ht="11.4" customHeight="1" x14ac:dyDescent="0.3">
      <c r="A908" s="33"/>
      <c r="B908" s="33"/>
      <c r="C908" s="33"/>
      <c r="D908" s="33"/>
      <c r="E908" s="33"/>
      <c r="F908" s="33"/>
      <c r="G908" s="33"/>
      <c r="H908" s="33"/>
      <c r="I908" s="33"/>
    </row>
    <row r="909" spans="1:9" s="54" customFormat="1" ht="11.4" customHeight="1" x14ac:dyDescent="0.3">
      <c r="A909" s="33"/>
      <c r="B909" s="33"/>
      <c r="C909" s="33"/>
      <c r="D909" s="33"/>
      <c r="E909" s="33"/>
      <c r="F909" s="33"/>
      <c r="G909" s="33"/>
      <c r="H909" s="33"/>
      <c r="I909" s="33"/>
    </row>
    <row r="910" spans="1:9" s="54" customFormat="1" ht="11.4" customHeight="1" x14ac:dyDescent="0.3">
      <c r="A910" s="33"/>
      <c r="B910" s="33"/>
      <c r="C910" s="33"/>
      <c r="D910" s="33"/>
      <c r="E910" s="33"/>
      <c r="F910" s="33"/>
      <c r="G910" s="33"/>
      <c r="H910" s="33"/>
      <c r="I910" s="33"/>
    </row>
    <row r="911" spans="1:9" s="54" customFormat="1" ht="11.4" customHeight="1" x14ac:dyDescent="0.3">
      <c r="A911" s="33"/>
      <c r="B911" s="33"/>
      <c r="C911" s="33"/>
      <c r="D911" s="33"/>
      <c r="E911" s="33"/>
      <c r="F911" s="33"/>
      <c r="G911" s="33"/>
      <c r="H911" s="33"/>
      <c r="I911" s="33"/>
    </row>
    <row r="912" spans="1:9" s="54" customFormat="1" ht="11.4" customHeight="1" x14ac:dyDescent="0.3">
      <c r="A912" s="33"/>
      <c r="B912" s="33"/>
      <c r="C912" s="33"/>
      <c r="D912" s="33"/>
      <c r="E912" s="33"/>
      <c r="F912" s="33"/>
      <c r="G912" s="33"/>
      <c r="H912" s="33"/>
      <c r="I912" s="33"/>
    </row>
    <row r="913" spans="1:9" s="54" customFormat="1" ht="11.4" customHeight="1" x14ac:dyDescent="0.3">
      <c r="A913" s="33"/>
      <c r="B913" s="33"/>
      <c r="C913" s="33"/>
      <c r="D913" s="33"/>
      <c r="E913" s="33"/>
      <c r="F913" s="33"/>
      <c r="G913" s="33"/>
      <c r="H913" s="33"/>
      <c r="I913" s="33"/>
    </row>
    <row r="914" spans="1:9" s="54" customFormat="1" ht="11.4" customHeight="1" x14ac:dyDescent="0.3">
      <c r="A914" s="33"/>
      <c r="B914" s="33"/>
      <c r="C914" s="33"/>
      <c r="D914" s="33"/>
      <c r="E914" s="33"/>
      <c r="F914" s="33"/>
      <c r="G914" s="33"/>
      <c r="H914" s="33"/>
      <c r="I914" s="33"/>
    </row>
    <row r="915" spans="1:9" s="54" customFormat="1" ht="11.4" customHeight="1" x14ac:dyDescent="0.3">
      <c r="A915" s="33"/>
      <c r="B915" s="33"/>
      <c r="C915" s="33"/>
      <c r="D915" s="33"/>
      <c r="E915" s="33"/>
      <c r="F915" s="33"/>
      <c r="G915" s="33"/>
      <c r="H915" s="33"/>
      <c r="I915" s="33"/>
    </row>
    <row r="916" spans="1:9" s="54" customFormat="1" ht="11.4" customHeight="1" x14ac:dyDescent="0.3">
      <c r="A916" s="33"/>
      <c r="B916" s="33"/>
      <c r="C916" s="33"/>
      <c r="D916" s="33"/>
      <c r="E916" s="33"/>
      <c r="F916" s="33"/>
      <c r="G916" s="33"/>
      <c r="H916" s="33"/>
      <c r="I916" s="33"/>
    </row>
    <row r="917" spans="1:9" s="54" customFormat="1" ht="11.4" customHeight="1" x14ac:dyDescent="0.3">
      <c r="A917" s="33"/>
      <c r="B917" s="33"/>
      <c r="C917" s="33"/>
      <c r="D917" s="33"/>
      <c r="E917" s="33"/>
      <c r="F917" s="33"/>
      <c r="G917" s="33"/>
      <c r="H917" s="33"/>
      <c r="I917" s="33"/>
    </row>
    <row r="918" spans="1:9" s="54" customFormat="1" ht="11.4" customHeight="1" x14ac:dyDescent="0.3">
      <c r="A918" s="33"/>
      <c r="B918" s="33"/>
      <c r="C918" s="33"/>
      <c r="D918" s="33"/>
      <c r="E918" s="33"/>
      <c r="F918" s="33"/>
      <c r="G918" s="33"/>
      <c r="H918" s="33"/>
      <c r="I918" s="33"/>
    </row>
    <row r="919" spans="1:9" s="54" customFormat="1" ht="11.4" customHeight="1" x14ac:dyDescent="0.3">
      <c r="A919" s="33"/>
      <c r="B919" s="33"/>
      <c r="C919" s="33"/>
      <c r="D919" s="33"/>
      <c r="E919" s="33"/>
      <c r="F919" s="33"/>
      <c r="G919" s="33"/>
      <c r="H919" s="33"/>
      <c r="I919" s="33"/>
    </row>
    <row r="920" spans="1:9" s="54" customFormat="1" ht="11.4" customHeight="1" x14ac:dyDescent="0.3">
      <c r="A920" s="33"/>
      <c r="B920" s="33"/>
      <c r="C920" s="33"/>
      <c r="D920" s="33"/>
      <c r="E920" s="33"/>
      <c r="F920" s="33"/>
      <c r="G920" s="33"/>
      <c r="H920" s="33"/>
      <c r="I920" s="33"/>
    </row>
    <row r="921" spans="1:9" s="54" customFormat="1" ht="11.4" customHeight="1" x14ac:dyDescent="0.3">
      <c r="A921" s="33"/>
      <c r="B921" s="33"/>
      <c r="C921" s="33"/>
      <c r="D921" s="33"/>
      <c r="E921" s="33"/>
      <c r="F921" s="33"/>
      <c r="G921" s="33"/>
      <c r="H921" s="33"/>
      <c r="I921" s="33"/>
    </row>
    <row r="922" spans="1:9" s="54" customFormat="1" ht="11.4" customHeight="1" x14ac:dyDescent="0.3">
      <c r="A922" s="33"/>
      <c r="B922" s="33"/>
      <c r="C922" s="33"/>
      <c r="D922" s="33"/>
      <c r="E922" s="33"/>
      <c r="F922" s="33"/>
      <c r="G922" s="33"/>
      <c r="H922" s="33"/>
      <c r="I922" s="33"/>
    </row>
    <row r="923" spans="1:9" s="54" customFormat="1" ht="11.4" customHeight="1" x14ac:dyDescent="0.3">
      <c r="A923" s="33"/>
      <c r="B923" s="33"/>
      <c r="C923" s="33"/>
      <c r="D923" s="33"/>
      <c r="E923" s="33"/>
      <c r="F923" s="33"/>
      <c r="G923" s="33"/>
      <c r="H923" s="33"/>
      <c r="I923" s="33"/>
    </row>
    <row r="924" spans="1:9" s="54" customFormat="1" ht="11.4" customHeight="1" x14ac:dyDescent="0.3">
      <c r="A924" s="33"/>
      <c r="B924" s="33"/>
      <c r="C924" s="33"/>
      <c r="D924" s="33"/>
      <c r="E924" s="33"/>
      <c r="F924" s="33"/>
      <c r="G924" s="33"/>
      <c r="H924" s="33"/>
      <c r="I924" s="33"/>
    </row>
    <row r="925" spans="1:9" s="54" customFormat="1" ht="11.4" customHeight="1" x14ac:dyDescent="0.3">
      <c r="A925" s="33"/>
      <c r="B925" s="33"/>
      <c r="C925" s="33"/>
      <c r="D925" s="33"/>
      <c r="E925" s="33"/>
      <c r="F925" s="33"/>
      <c r="G925" s="33"/>
      <c r="H925" s="33"/>
      <c r="I925" s="33"/>
    </row>
    <row r="926" spans="1:9" s="54" customFormat="1" ht="11.4" customHeight="1" x14ac:dyDescent="0.3">
      <c r="A926" s="33"/>
      <c r="B926" s="33"/>
      <c r="C926" s="33"/>
      <c r="D926" s="33"/>
      <c r="E926" s="33"/>
      <c r="F926" s="33"/>
      <c r="G926" s="33"/>
      <c r="H926" s="33"/>
      <c r="I926" s="33"/>
    </row>
    <row r="927" spans="1:9" s="54" customFormat="1" ht="11.4" customHeight="1" x14ac:dyDescent="0.3">
      <c r="A927" s="33"/>
      <c r="B927" s="33"/>
      <c r="C927" s="33"/>
      <c r="D927" s="33"/>
      <c r="E927" s="33"/>
      <c r="F927" s="33"/>
      <c r="G927" s="33"/>
      <c r="H927" s="33"/>
      <c r="I927" s="33"/>
    </row>
    <row r="928" spans="1:9" s="54" customFormat="1" ht="11.4" customHeight="1" x14ac:dyDescent="0.3">
      <c r="A928" s="33"/>
      <c r="B928" s="33"/>
      <c r="C928" s="33"/>
      <c r="D928" s="33"/>
      <c r="E928" s="33"/>
      <c r="F928" s="33"/>
      <c r="G928" s="33"/>
      <c r="H928" s="33"/>
      <c r="I928" s="33"/>
    </row>
    <row r="929" spans="1:9" s="54" customFormat="1" ht="11.4" customHeight="1" x14ac:dyDescent="0.3">
      <c r="A929" s="33"/>
      <c r="B929" s="33"/>
      <c r="C929" s="33"/>
      <c r="D929" s="33"/>
      <c r="E929" s="33"/>
      <c r="F929" s="33"/>
      <c r="G929" s="33"/>
      <c r="H929" s="33"/>
      <c r="I929" s="33"/>
    </row>
    <row r="930" spans="1:9" s="54" customFormat="1" ht="11.4" customHeight="1" x14ac:dyDescent="0.3">
      <c r="A930" s="33"/>
      <c r="B930" s="33"/>
      <c r="C930" s="33"/>
      <c r="D930" s="33"/>
      <c r="E930" s="33"/>
      <c r="F930" s="33"/>
      <c r="G930" s="33"/>
      <c r="H930" s="33"/>
      <c r="I930" s="33"/>
    </row>
    <row r="931" spans="1:9" s="54" customFormat="1" ht="11.4" customHeight="1" x14ac:dyDescent="0.3">
      <c r="A931" s="33"/>
      <c r="B931" s="33"/>
      <c r="C931" s="33"/>
      <c r="D931" s="33"/>
      <c r="E931" s="33"/>
      <c r="F931" s="33"/>
      <c r="G931" s="33"/>
      <c r="H931" s="33"/>
      <c r="I931" s="33"/>
    </row>
    <row r="932" spans="1:9" s="54" customFormat="1" ht="11.4" customHeight="1" x14ac:dyDescent="0.3">
      <c r="A932" s="33"/>
      <c r="B932" s="33"/>
      <c r="C932" s="33"/>
      <c r="D932" s="33"/>
      <c r="E932" s="33"/>
      <c r="F932" s="33"/>
      <c r="G932" s="33"/>
      <c r="H932" s="33"/>
      <c r="I932" s="33"/>
    </row>
    <row r="933" spans="1:9" s="54" customFormat="1" ht="11.4" customHeight="1" x14ac:dyDescent="0.3">
      <c r="A933" s="33"/>
      <c r="B933" s="33"/>
      <c r="C933" s="33"/>
      <c r="D933" s="33"/>
      <c r="E933" s="33"/>
      <c r="F933" s="33"/>
      <c r="G933" s="33"/>
      <c r="H933" s="33"/>
      <c r="I933" s="33"/>
    </row>
    <row r="934" spans="1:9" s="54" customFormat="1" ht="11.4" customHeight="1" x14ac:dyDescent="0.3">
      <c r="A934" s="33"/>
      <c r="B934" s="33"/>
      <c r="C934" s="33"/>
      <c r="D934" s="33"/>
      <c r="E934" s="33"/>
      <c r="F934" s="33"/>
      <c r="G934" s="33"/>
      <c r="H934" s="33"/>
      <c r="I934" s="33"/>
    </row>
    <row r="935" spans="1:9" s="54" customFormat="1" ht="11.4" customHeight="1" x14ac:dyDescent="0.3">
      <c r="A935" s="33"/>
      <c r="B935" s="33"/>
      <c r="C935" s="33"/>
      <c r="D935" s="33"/>
      <c r="E935" s="33"/>
      <c r="F935" s="33"/>
      <c r="G935" s="33"/>
      <c r="H935" s="33"/>
      <c r="I935" s="33"/>
    </row>
    <row r="936" spans="1:9" s="54" customFormat="1" ht="11.4" customHeight="1" x14ac:dyDescent="0.3">
      <c r="A936" s="33"/>
      <c r="B936" s="33"/>
      <c r="C936" s="33"/>
      <c r="D936" s="33"/>
      <c r="E936" s="33"/>
      <c r="F936" s="33"/>
      <c r="G936" s="33"/>
      <c r="H936" s="33"/>
      <c r="I936" s="33"/>
    </row>
    <row r="937" spans="1:9" s="54" customFormat="1" ht="11.4" customHeight="1" x14ac:dyDescent="0.3">
      <c r="A937" s="33"/>
      <c r="B937" s="33"/>
      <c r="C937" s="33"/>
      <c r="D937" s="33"/>
      <c r="E937" s="33"/>
      <c r="F937" s="33"/>
      <c r="G937" s="33"/>
      <c r="H937" s="33"/>
      <c r="I937" s="33"/>
    </row>
    <row r="938" spans="1:9" s="54" customFormat="1" ht="11.4" customHeight="1" x14ac:dyDescent="0.3">
      <c r="A938" s="33"/>
      <c r="B938" s="33"/>
      <c r="C938" s="33"/>
      <c r="D938" s="33"/>
      <c r="E938" s="33"/>
      <c r="F938" s="33"/>
      <c r="G938" s="33"/>
      <c r="H938" s="33"/>
      <c r="I938" s="33"/>
    </row>
    <row r="939" spans="1:9" s="54" customFormat="1" ht="11.4" customHeight="1" x14ac:dyDescent="0.3">
      <c r="A939" s="33"/>
      <c r="B939" s="33"/>
      <c r="C939" s="33"/>
      <c r="D939" s="33"/>
      <c r="E939" s="33"/>
      <c r="F939" s="33"/>
      <c r="G939" s="33"/>
      <c r="H939" s="33"/>
      <c r="I939" s="33"/>
    </row>
    <row r="940" spans="1:9" s="54" customFormat="1" ht="11.4" customHeight="1" x14ac:dyDescent="0.3">
      <c r="A940" s="33"/>
      <c r="B940" s="33"/>
      <c r="C940" s="33"/>
      <c r="D940" s="33"/>
      <c r="E940" s="33"/>
      <c r="F940" s="33"/>
      <c r="G940" s="33"/>
      <c r="H940" s="33"/>
      <c r="I940" s="33"/>
    </row>
    <row r="941" spans="1:9" s="54" customFormat="1" ht="11.4" customHeight="1" x14ac:dyDescent="0.3">
      <c r="A941" s="33"/>
      <c r="B941" s="33"/>
      <c r="C941" s="33"/>
      <c r="D941" s="33"/>
      <c r="E941" s="33"/>
      <c r="F941" s="33"/>
      <c r="G941" s="33"/>
      <c r="H941" s="33"/>
      <c r="I941" s="33"/>
    </row>
    <row r="942" spans="1:9" s="54" customFormat="1" ht="11.4" customHeight="1" x14ac:dyDescent="0.3">
      <c r="A942" s="33"/>
      <c r="B942" s="33"/>
      <c r="C942" s="33"/>
      <c r="D942" s="33"/>
      <c r="E942" s="33"/>
      <c r="F942" s="33"/>
      <c r="G942" s="33"/>
      <c r="H942" s="33"/>
      <c r="I942" s="33"/>
    </row>
    <row r="943" spans="1:9" s="54" customFormat="1" ht="11.4" customHeight="1" x14ac:dyDescent="0.3">
      <c r="A943" s="33"/>
      <c r="B943" s="33"/>
      <c r="C943" s="33"/>
      <c r="D943" s="33"/>
      <c r="E943" s="33"/>
      <c r="F943" s="33"/>
      <c r="G943" s="33"/>
      <c r="H943" s="33"/>
      <c r="I943" s="33"/>
    </row>
    <row r="944" spans="1:9" s="54" customFormat="1" ht="11.4" customHeight="1" x14ac:dyDescent="0.3">
      <c r="A944" s="33"/>
      <c r="B944" s="33"/>
      <c r="C944" s="33"/>
      <c r="D944" s="33"/>
      <c r="E944" s="33"/>
      <c r="F944" s="33"/>
      <c r="G944" s="33"/>
      <c r="H944" s="33"/>
      <c r="I944" s="33"/>
    </row>
    <row r="945" spans="1:9" s="54" customFormat="1" ht="11.4" customHeight="1" x14ac:dyDescent="0.3">
      <c r="A945" s="33"/>
      <c r="B945" s="33"/>
      <c r="C945" s="33"/>
      <c r="D945" s="33"/>
      <c r="E945" s="33"/>
      <c r="F945" s="33"/>
      <c r="G945" s="33"/>
      <c r="H945" s="33"/>
      <c r="I945" s="33"/>
    </row>
    <row r="946" spans="1:9" s="54" customFormat="1" ht="11.4" customHeight="1" x14ac:dyDescent="0.3">
      <c r="A946" s="33"/>
      <c r="B946" s="33"/>
      <c r="C946" s="33"/>
      <c r="D946" s="33"/>
      <c r="E946" s="33"/>
      <c r="F946" s="33"/>
      <c r="G946" s="33"/>
      <c r="H946" s="33"/>
      <c r="I946" s="33"/>
    </row>
    <row r="947" spans="1:9" s="54" customFormat="1" ht="11.4" customHeight="1" x14ac:dyDescent="0.3">
      <c r="A947" s="33"/>
      <c r="B947" s="33"/>
      <c r="C947" s="33"/>
      <c r="D947" s="33"/>
      <c r="E947" s="33"/>
      <c r="F947" s="33"/>
      <c r="G947" s="33"/>
      <c r="H947" s="33"/>
      <c r="I947" s="33"/>
    </row>
    <row r="948" spans="1:9" s="54" customFormat="1" ht="11.4" customHeight="1" x14ac:dyDescent="0.3">
      <c r="A948" s="33"/>
      <c r="B948" s="33"/>
      <c r="C948" s="33"/>
      <c r="D948" s="33"/>
      <c r="E948" s="33"/>
      <c r="F948" s="33"/>
      <c r="G948" s="33"/>
      <c r="H948" s="33"/>
      <c r="I948" s="33"/>
    </row>
    <row r="949" spans="1:9" s="54" customFormat="1" ht="11.4" customHeight="1" x14ac:dyDescent="0.3">
      <c r="A949" s="33"/>
      <c r="B949" s="33"/>
      <c r="C949" s="33"/>
      <c r="D949" s="33"/>
      <c r="E949" s="33"/>
      <c r="F949" s="33"/>
      <c r="G949" s="33"/>
      <c r="H949" s="33"/>
      <c r="I949" s="33"/>
    </row>
    <row r="950" spans="1:9" s="54" customFormat="1" ht="11.4" customHeight="1" x14ac:dyDescent="0.3">
      <c r="A950" s="33"/>
      <c r="B950" s="33"/>
      <c r="C950" s="33"/>
      <c r="D950" s="33"/>
      <c r="E950" s="33"/>
      <c r="F950" s="33"/>
      <c r="G950" s="33"/>
      <c r="H950" s="33"/>
      <c r="I950" s="33"/>
    </row>
    <row r="951" spans="1:9" s="54" customFormat="1" ht="11.4" customHeight="1" x14ac:dyDescent="0.3">
      <c r="A951" s="33"/>
      <c r="B951" s="33"/>
      <c r="C951" s="33"/>
      <c r="D951" s="33"/>
      <c r="E951" s="33"/>
      <c r="F951" s="33"/>
      <c r="G951" s="33"/>
      <c r="H951" s="33"/>
      <c r="I951" s="33"/>
    </row>
    <row r="952" spans="1:9" s="54" customFormat="1" ht="11.4" customHeight="1" x14ac:dyDescent="0.3">
      <c r="A952" s="33"/>
      <c r="B952" s="33"/>
      <c r="C952" s="33"/>
      <c r="D952" s="33"/>
      <c r="E952" s="33"/>
      <c r="F952" s="33"/>
      <c r="G952" s="33"/>
      <c r="H952" s="33"/>
      <c r="I952" s="33"/>
    </row>
    <row r="953" spans="1:9" s="54" customFormat="1" ht="11.4" customHeight="1" x14ac:dyDescent="0.3">
      <c r="A953" s="33"/>
      <c r="B953" s="33"/>
      <c r="C953" s="33"/>
      <c r="D953" s="33"/>
      <c r="E953" s="33"/>
      <c r="F953" s="33"/>
      <c r="G953" s="33"/>
      <c r="H953" s="33"/>
      <c r="I953" s="33"/>
    </row>
    <row r="954" spans="1:9" s="54" customFormat="1" ht="11.4" customHeight="1" x14ac:dyDescent="0.3">
      <c r="A954" s="33"/>
      <c r="B954" s="33"/>
      <c r="C954" s="33"/>
      <c r="D954" s="33"/>
      <c r="E954" s="33"/>
      <c r="F954" s="33"/>
      <c r="G954" s="33"/>
      <c r="H954" s="33"/>
      <c r="I954" s="33"/>
    </row>
    <row r="955" spans="1:9" s="54" customFormat="1" ht="11.4" customHeight="1" x14ac:dyDescent="0.3">
      <c r="A955" s="33"/>
      <c r="B955" s="33"/>
      <c r="C955" s="33"/>
      <c r="D955" s="33"/>
      <c r="E955" s="33"/>
      <c r="F955" s="33"/>
      <c r="G955" s="33"/>
      <c r="H955" s="33"/>
      <c r="I955" s="33"/>
    </row>
    <row r="956" spans="1:9" s="54" customFormat="1" ht="11.4" customHeight="1" x14ac:dyDescent="0.3">
      <c r="A956" s="33"/>
      <c r="B956" s="33"/>
      <c r="C956" s="33"/>
      <c r="D956" s="33"/>
      <c r="E956" s="33"/>
      <c r="F956" s="33"/>
      <c r="G956" s="33"/>
      <c r="H956" s="33"/>
      <c r="I956" s="33"/>
    </row>
    <row r="957" spans="1:9" s="54" customFormat="1" ht="11.4" customHeight="1" x14ac:dyDescent="0.3">
      <c r="A957" s="33"/>
      <c r="B957" s="33"/>
      <c r="C957" s="33"/>
      <c r="D957" s="33"/>
      <c r="E957" s="33"/>
      <c r="F957" s="33"/>
      <c r="G957" s="33"/>
      <c r="H957" s="33"/>
      <c r="I957" s="33"/>
    </row>
    <row r="958" spans="1:9" s="54" customFormat="1" ht="11.4" customHeight="1" x14ac:dyDescent="0.3">
      <c r="A958" s="33"/>
      <c r="B958" s="33"/>
      <c r="C958" s="33"/>
      <c r="D958" s="33"/>
      <c r="E958" s="33"/>
      <c r="F958" s="33"/>
      <c r="G958" s="33"/>
      <c r="H958" s="33"/>
      <c r="I958" s="33"/>
    </row>
    <row r="959" spans="1:9" s="54" customFormat="1" ht="11.4" customHeight="1" x14ac:dyDescent="0.3">
      <c r="A959" s="33"/>
      <c r="B959" s="33"/>
      <c r="C959" s="33"/>
      <c r="D959" s="33"/>
      <c r="E959" s="33"/>
      <c r="F959" s="33"/>
      <c r="G959" s="33"/>
      <c r="H959" s="33"/>
      <c r="I959" s="33"/>
    </row>
    <row r="960" spans="1:9" s="54" customFormat="1" ht="11.4" customHeight="1" x14ac:dyDescent="0.3">
      <c r="A960" s="33"/>
      <c r="B960" s="33"/>
      <c r="C960" s="33"/>
      <c r="D960" s="33"/>
      <c r="E960" s="33"/>
      <c r="F960" s="33"/>
      <c r="G960" s="33"/>
      <c r="H960" s="33"/>
      <c r="I960" s="33"/>
    </row>
    <row r="961" spans="1:9" s="54" customFormat="1" ht="11.4" customHeight="1" x14ac:dyDescent="0.3">
      <c r="A961" s="33"/>
      <c r="B961" s="33"/>
      <c r="C961" s="33"/>
      <c r="D961" s="33"/>
      <c r="E961" s="33"/>
      <c r="F961" s="33"/>
      <c r="G961" s="33"/>
      <c r="H961" s="33"/>
      <c r="I961" s="33"/>
    </row>
    <row r="962" spans="1:9" s="54" customFormat="1" ht="11.4" customHeight="1" x14ac:dyDescent="0.3">
      <c r="A962" s="33"/>
      <c r="B962" s="33"/>
      <c r="C962" s="33"/>
      <c r="D962" s="33"/>
      <c r="E962" s="33"/>
      <c r="F962" s="33"/>
      <c r="G962" s="33"/>
      <c r="H962" s="33"/>
      <c r="I962" s="33"/>
    </row>
    <row r="963" spans="1:9" s="54" customFormat="1" ht="11.4" customHeight="1" x14ac:dyDescent="0.3">
      <c r="A963" s="33"/>
      <c r="B963" s="33"/>
      <c r="C963" s="33"/>
      <c r="D963" s="33"/>
      <c r="E963" s="33"/>
      <c r="F963" s="33"/>
      <c r="G963" s="33"/>
      <c r="H963" s="33"/>
      <c r="I963" s="33"/>
    </row>
    <row r="964" spans="1:9" s="54" customFormat="1" ht="11.4" customHeight="1" x14ac:dyDescent="0.3">
      <c r="A964" s="33"/>
      <c r="B964" s="33"/>
      <c r="C964" s="33"/>
      <c r="D964" s="33"/>
      <c r="E964" s="33"/>
      <c r="F964" s="33"/>
      <c r="G964" s="33"/>
      <c r="H964" s="33"/>
      <c r="I964" s="33"/>
    </row>
    <row r="965" spans="1:9" s="54" customFormat="1" ht="11.4" customHeight="1" x14ac:dyDescent="0.3">
      <c r="A965" s="33"/>
      <c r="B965" s="33"/>
      <c r="C965" s="33"/>
      <c r="D965" s="33"/>
      <c r="E965" s="33"/>
      <c r="F965" s="33"/>
      <c r="G965" s="33"/>
      <c r="H965" s="33"/>
      <c r="I965" s="33"/>
    </row>
    <row r="966" spans="1:9" s="54" customFormat="1" ht="11.4" customHeight="1" x14ac:dyDescent="0.3">
      <c r="A966" s="33"/>
      <c r="B966" s="33"/>
      <c r="C966" s="33"/>
      <c r="D966" s="33"/>
      <c r="E966" s="33"/>
      <c r="F966" s="33"/>
      <c r="G966" s="33"/>
      <c r="H966" s="33"/>
      <c r="I966" s="33"/>
    </row>
    <row r="967" spans="1:9" s="54" customFormat="1" ht="11.4" customHeight="1" x14ac:dyDescent="0.3">
      <c r="A967" s="33"/>
      <c r="B967" s="33"/>
      <c r="C967" s="33"/>
      <c r="D967" s="33"/>
      <c r="E967" s="33"/>
      <c r="F967" s="33"/>
      <c r="G967" s="33"/>
      <c r="H967" s="33"/>
      <c r="I967" s="33"/>
    </row>
    <row r="968" spans="1:9" s="54" customFormat="1" ht="11.4" customHeight="1" x14ac:dyDescent="0.3">
      <c r="A968" s="33"/>
      <c r="B968" s="33"/>
      <c r="C968" s="33"/>
      <c r="D968" s="33"/>
      <c r="E968" s="33"/>
      <c r="F968" s="33"/>
      <c r="G968" s="33"/>
      <c r="H968" s="33"/>
      <c r="I968" s="33"/>
    </row>
    <row r="969" spans="1:9" s="54" customFormat="1" ht="11.4" customHeight="1" x14ac:dyDescent="0.3">
      <c r="A969" s="33"/>
      <c r="B969" s="33"/>
      <c r="C969" s="33"/>
      <c r="D969" s="33"/>
      <c r="E969" s="33"/>
      <c r="F969" s="33"/>
      <c r="G969" s="33"/>
      <c r="H969" s="33"/>
      <c r="I969" s="33"/>
    </row>
    <row r="970" spans="1:9" s="54" customFormat="1" ht="11.4" customHeight="1" x14ac:dyDescent="0.3">
      <c r="A970" s="33"/>
      <c r="B970" s="33"/>
      <c r="C970" s="33"/>
      <c r="D970" s="33"/>
      <c r="E970" s="33"/>
      <c r="F970" s="33"/>
      <c r="G970" s="33"/>
      <c r="H970" s="33"/>
      <c r="I970" s="33"/>
    </row>
    <row r="971" spans="1:9" s="54" customFormat="1" ht="11.4" customHeight="1" x14ac:dyDescent="0.3">
      <c r="A971" s="33"/>
      <c r="B971" s="33"/>
      <c r="C971" s="33"/>
      <c r="D971" s="33"/>
      <c r="E971" s="33"/>
      <c r="F971" s="33"/>
      <c r="G971" s="33"/>
      <c r="H971" s="33"/>
      <c r="I971" s="33"/>
    </row>
    <row r="972" spans="1:9" s="54" customFormat="1" ht="11.4" customHeight="1" x14ac:dyDescent="0.3">
      <c r="A972" s="33"/>
      <c r="B972" s="33"/>
      <c r="C972" s="33"/>
      <c r="D972" s="33"/>
      <c r="E972" s="33"/>
      <c r="F972" s="33"/>
      <c r="G972" s="33"/>
      <c r="H972" s="33"/>
      <c r="I972" s="33"/>
    </row>
    <row r="973" spans="1:9" s="54" customFormat="1" ht="11.4" customHeight="1" x14ac:dyDescent="0.3">
      <c r="A973" s="33"/>
      <c r="B973" s="33"/>
      <c r="C973" s="33"/>
      <c r="D973" s="33"/>
      <c r="E973" s="33"/>
      <c r="F973" s="33"/>
      <c r="G973" s="33"/>
      <c r="H973" s="33"/>
      <c r="I973" s="33"/>
    </row>
    <row r="974" spans="1:9" s="54" customFormat="1" ht="11.4" customHeight="1" x14ac:dyDescent="0.3">
      <c r="A974" s="33"/>
      <c r="B974" s="33"/>
      <c r="C974" s="33"/>
      <c r="D974" s="33"/>
      <c r="E974" s="33"/>
      <c r="F974" s="33"/>
      <c r="G974" s="33"/>
      <c r="H974" s="33"/>
      <c r="I974" s="33"/>
    </row>
    <row r="975" spans="1:9" s="54" customFormat="1" ht="11.4" customHeight="1" x14ac:dyDescent="0.3">
      <c r="A975" s="33"/>
      <c r="B975" s="33"/>
      <c r="C975" s="33"/>
      <c r="D975" s="33"/>
      <c r="E975" s="33"/>
      <c r="F975" s="33"/>
      <c r="G975" s="33"/>
      <c r="H975" s="33"/>
      <c r="I975" s="33"/>
    </row>
    <row r="976" spans="1:9" s="54" customFormat="1" ht="11.4" customHeight="1" x14ac:dyDescent="0.3">
      <c r="A976" s="33"/>
      <c r="B976" s="33"/>
      <c r="C976" s="33"/>
      <c r="D976" s="33"/>
      <c r="E976" s="33"/>
      <c r="F976" s="33"/>
      <c r="G976" s="33"/>
      <c r="H976" s="33"/>
      <c r="I976" s="33"/>
    </row>
    <row r="977" spans="1:9" s="54" customFormat="1" ht="11.4" customHeight="1" x14ac:dyDescent="0.3">
      <c r="A977" s="33"/>
      <c r="B977" s="33"/>
      <c r="C977" s="33"/>
      <c r="D977" s="33"/>
      <c r="E977" s="33"/>
      <c r="F977" s="33"/>
      <c r="G977" s="33"/>
      <c r="H977" s="33"/>
      <c r="I977" s="33"/>
    </row>
    <row r="978" spans="1:9" s="54" customFormat="1" ht="11.4" customHeight="1" x14ac:dyDescent="0.3">
      <c r="A978" s="33"/>
      <c r="B978" s="33"/>
      <c r="C978" s="33"/>
      <c r="D978" s="33"/>
      <c r="E978" s="33"/>
      <c r="F978" s="33"/>
      <c r="G978" s="33"/>
      <c r="H978" s="33"/>
      <c r="I978" s="33"/>
    </row>
    <row r="979" spans="1:9" s="54" customFormat="1" ht="11.4" customHeight="1" x14ac:dyDescent="0.3">
      <c r="A979" s="33"/>
      <c r="B979" s="33"/>
      <c r="C979" s="33"/>
      <c r="D979" s="33"/>
      <c r="E979" s="33"/>
      <c r="F979" s="33"/>
      <c r="G979" s="33"/>
      <c r="H979" s="33"/>
      <c r="I979" s="33"/>
    </row>
    <row r="980" spans="1:9" s="54" customFormat="1" ht="11.4" customHeight="1" x14ac:dyDescent="0.3">
      <c r="A980" s="33"/>
      <c r="B980" s="33"/>
      <c r="C980" s="33"/>
      <c r="D980" s="33"/>
      <c r="E980" s="33"/>
      <c r="F980" s="33"/>
      <c r="G980" s="33"/>
      <c r="H980" s="33"/>
      <c r="I980" s="33"/>
    </row>
    <row r="981" spans="1:9" s="54" customFormat="1" ht="11.4" customHeight="1" x14ac:dyDescent="0.3">
      <c r="A981" s="33"/>
      <c r="B981" s="33"/>
      <c r="C981" s="33"/>
      <c r="D981" s="33"/>
      <c r="E981" s="33"/>
      <c r="F981" s="33"/>
      <c r="G981" s="33"/>
      <c r="H981" s="33"/>
      <c r="I981" s="33"/>
    </row>
    <row r="982" spans="1:9" s="54" customFormat="1" ht="11.4" customHeight="1" x14ac:dyDescent="0.3">
      <c r="A982" s="33"/>
      <c r="B982" s="33"/>
      <c r="C982" s="33"/>
      <c r="D982" s="33"/>
      <c r="E982" s="33"/>
      <c r="F982" s="33"/>
      <c r="G982" s="33"/>
      <c r="H982" s="33"/>
      <c r="I982" s="33"/>
    </row>
    <row r="983" spans="1:9" s="54" customFormat="1" ht="11.4" customHeight="1" x14ac:dyDescent="0.3">
      <c r="A983" s="33"/>
      <c r="B983" s="33"/>
      <c r="C983" s="33"/>
      <c r="D983" s="33"/>
      <c r="E983" s="33"/>
      <c r="F983" s="33"/>
      <c r="G983" s="33"/>
      <c r="H983" s="33"/>
      <c r="I983" s="33"/>
    </row>
    <row r="984" spans="1:9" s="54" customFormat="1" ht="11.4" customHeight="1" x14ac:dyDescent="0.3">
      <c r="A984" s="33"/>
      <c r="B984" s="33"/>
      <c r="C984" s="33"/>
      <c r="D984" s="33"/>
      <c r="E984" s="33"/>
      <c r="F984" s="33"/>
      <c r="G984" s="33"/>
      <c r="H984" s="33"/>
      <c r="I984" s="33"/>
    </row>
    <row r="985" spans="1:9" s="54" customFormat="1" ht="11.4" customHeight="1" x14ac:dyDescent="0.3">
      <c r="A985" s="33"/>
      <c r="B985" s="33"/>
      <c r="C985" s="33"/>
      <c r="D985" s="33"/>
      <c r="E985" s="33"/>
      <c r="F985" s="33"/>
      <c r="G985" s="33"/>
      <c r="H985" s="33"/>
      <c r="I985" s="33"/>
    </row>
    <row r="986" spans="1:9" s="54" customFormat="1" ht="11.4" customHeight="1" x14ac:dyDescent="0.3">
      <c r="A986" s="33"/>
      <c r="B986" s="33"/>
      <c r="C986" s="33"/>
      <c r="D986" s="33"/>
      <c r="E986" s="33"/>
      <c r="F986" s="33"/>
      <c r="G986" s="33"/>
      <c r="H986" s="33"/>
      <c r="I986" s="33"/>
    </row>
    <row r="987" spans="1:9" s="54" customFormat="1" ht="11.4" customHeight="1" x14ac:dyDescent="0.3">
      <c r="A987" s="33"/>
      <c r="B987" s="33"/>
      <c r="C987" s="33"/>
      <c r="D987" s="33"/>
      <c r="E987" s="33"/>
      <c r="F987" s="33"/>
      <c r="G987" s="33"/>
      <c r="H987" s="33"/>
      <c r="I987" s="33"/>
    </row>
    <row r="988" spans="1:9" s="54" customFormat="1" ht="11.4" customHeight="1" x14ac:dyDescent="0.3">
      <c r="A988" s="33"/>
      <c r="B988" s="33"/>
      <c r="C988" s="33"/>
      <c r="D988" s="33"/>
      <c r="E988" s="33"/>
      <c r="F988" s="33"/>
      <c r="G988" s="33"/>
      <c r="H988" s="33"/>
      <c r="I988" s="33"/>
    </row>
    <row r="989" spans="1:9" s="54" customFormat="1" ht="11.4" customHeight="1" x14ac:dyDescent="0.3">
      <c r="A989" s="33"/>
      <c r="B989" s="33"/>
      <c r="C989" s="33"/>
      <c r="D989" s="33"/>
      <c r="E989" s="33"/>
      <c r="F989" s="33"/>
      <c r="G989" s="33"/>
      <c r="H989" s="33"/>
      <c r="I989" s="33"/>
    </row>
    <row r="990" spans="1:9" s="54" customFormat="1" ht="11.4" customHeight="1" x14ac:dyDescent="0.3">
      <c r="A990" s="33"/>
      <c r="B990" s="33"/>
      <c r="C990" s="33"/>
      <c r="D990" s="33"/>
      <c r="E990" s="33"/>
      <c r="F990" s="33"/>
      <c r="G990" s="33"/>
      <c r="H990" s="33"/>
      <c r="I990" s="33"/>
    </row>
    <row r="991" spans="1:9" s="54" customFormat="1" ht="11.4" customHeight="1" x14ac:dyDescent="0.3">
      <c r="A991" s="33"/>
      <c r="B991" s="33"/>
      <c r="C991" s="33"/>
      <c r="D991" s="33"/>
      <c r="E991" s="33"/>
      <c r="F991" s="33"/>
      <c r="G991" s="33"/>
      <c r="H991" s="33"/>
      <c r="I991" s="33"/>
    </row>
    <row r="992" spans="1:9" s="54" customFormat="1" ht="11.4" customHeight="1" x14ac:dyDescent="0.3">
      <c r="A992" s="33"/>
      <c r="B992" s="33"/>
      <c r="C992" s="33"/>
      <c r="D992" s="33"/>
      <c r="E992" s="33"/>
      <c r="F992" s="33"/>
      <c r="G992" s="33"/>
      <c r="H992" s="33"/>
      <c r="I992" s="33"/>
    </row>
    <row r="993" spans="1:9" s="54" customFormat="1" ht="11.4" customHeight="1" x14ac:dyDescent="0.3">
      <c r="A993" s="33"/>
      <c r="B993" s="33"/>
      <c r="C993" s="33"/>
      <c r="D993" s="33"/>
      <c r="E993" s="33"/>
      <c r="F993" s="33"/>
      <c r="G993" s="33"/>
      <c r="H993" s="33"/>
      <c r="I993" s="33"/>
    </row>
    <row r="994" spans="1:9" s="54" customFormat="1" ht="11.4" customHeight="1" x14ac:dyDescent="0.3">
      <c r="A994" s="33"/>
      <c r="B994" s="33"/>
      <c r="C994" s="33"/>
      <c r="D994" s="33"/>
      <c r="E994" s="33"/>
      <c r="F994" s="33"/>
      <c r="G994" s="33"/>
      <c r="H994" s="33"/>
      <c r="I994" s="33"/>
    </row>
    <row r="995" spans="1:9" s="54" customFormat="1" ht="11.4" customHeight="1" x14ac:dyDescent="0.3">
      <c r="A995" s="33"/>
      <c r="B995" s="33"/>
      <c r="C995" s="33"/>
      <c r="D995" s="33"/>
      <c r="E995" s="33"/>
      <c r="F995" s="33"/>
      <c r="G995" s="33"/>
      <c r="H995" s="33"/>
      <c r="I995" s="33"/>
    </row>
    <row r="996" spans="1:9" s="54" customFormat="1" ht="11.4" customHeight="1" x14ac:dyDescent="0.3">
      <c r="A996" s="33"/>
      <c r="B996" s="33"/>
      <c r="C996" s="33"/>
      <c r="D996" s="33"/>
      <c r="E996" s="33"/>
      <c r="F996" s="33"/>
      <c r="G996" s="33"/>
      <c r="H996" s="33"/>
      <c r="I996" s="33"/>
    </row>
    <row r="997" spans="1:9" s="54" customFormat="1" ht="11.4" customHeight="1" x14ac:dyDescent="0.3">
      <c r="A997" s="33"/>
      <c r="B997" s="33"/>
      <c r="C997" s="33"/>
      <c r="D997" s="33"/>
      <c r="E997" s="33"/>
      <c r="F997" s="33"/>
      <c r="G997" s="33"/>
      <c r="H997" s="33"/>
      <c r="I997" s="33"/>
    </row>
    <row r="998" spans="1:9" s="54" customFormat="1" ht="11.4" customHeight="1" x14ac:dyDescent="0.3">
      <c r="A998" s="33"/>
      <c r="B998" s="33"/>
      <c r="C998" s="33"/>
      <c r="D998" s="33"/>
      <c r="E998" s="33"/>
      <c r="F998" s="33"/>
      <c r="G998" s="33"/>
      <c r="H998" s="33"/>
      <c r="I998" s="33"/>
    </row>
    <row r="999" spans="1:9" s="54" customFormat="1" ht="11.4" customHeight="1" x14ac:dyDescent="0.3">
      <c r="A999" s="33"/>
      <c r="B999" s="33"/>
      <c r="C999" s="33"/>
      <c r="D999" s="33"/>
      <c r="E999" s="33"/>
      <c r="F999" s="33"/>
      <c r="G999" s="33"/>
      <c r="H999" s="33"/>
      <c r="I999" s="33"/>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70"/>
  <sheetViews>
    <sheetView zoomScale="62" workbookViewId="0">
      <selection activeCell="N20" sqref="N20"/>
    </sheetView>
  </sheetViews>
  <sheetFormatPr defaultColWidth="14.44140625" defaultRowHeight="14.4" x14ac:dyDescent="0.3"/>
  <cols>
    <col min="1" max="1" width="18.88671875" customWidth="1"/>
    <col min="2" max="2" width="17.6640625" style="54" customWidth="1"/>
  </cols>
  <sheetData>
    <row r="1" spans="1:3" x14ac:dyDescent="0.3">
      <c r="A1" s="53" t="s">
        <v>154</v>
      </c>
    </row>
    <row r="2" spans="1:3" x14ac:dyDescent="0.3">
      <c r="A2" s="53" t="s">
        <v>91</v>
      </c>
      <c r="B2" s="53" t="s">
        <v>129</v>
      </c>
      <c r="C2" s="53" t="s">
        <v>155</v>
      </c>
    </row>
    <row r="3" spans="1:3" x14ac:dyDescent="0.3">
      <c r="A3" s="33">
        <v>2025</v>
      </c>
      <c r="B3" s="52">
        <f>Денежные_потоки!C15</f>
        <v>-8780169.4700897932</v>
      </c>
      <c r="C3" s="53">
        <v>0</v>
      </c>
    </row>
    <row r="4" spans="1:3" x14ac:dyDescent="0.3">
      <c r="A4" s="33">
        <v>2026</v>
      </c>
      <c r="B4" s="52">
        <f>Денежные_потоки!D15</f>
        <v>-7617221.6450202186</v>
      </c>
      <c r="C4" s="53">
        <v>0</v>
      </c>
    </row>
    <row r="5" spans="1:3" x14ac:dyDescent="0.3">
      <c r="A5" s="33">
        <v>2027</v>
      </c>
      <c r="B5" s="52">
        <f>Денежные_потоки!E15</f>
        <v>-3976572.4775122297</v>
      </c>
      <c r="C5" s="53">
        <v>0</v>
      </c>
    </row>
    <row r="6" spans="1:3" x14ac:dyDescent="0.3">
      <c r="A6" s="33">
        <v>2028</v>
      </c>
      <c r="B6" s="52">
        <f>Денежные_потоки!F15</f>
        <v>1533984.4947478394</v>
      </c>
      <c r="C6" s="53">
        <v>0</v>
      </c>
    </row>
    <row r="7" spans="1:3" x14ac:dyDescent="0.3">
      <c r="A7" s="33">
        <v>2029</v>
      </c>
      <c r="B7" s="52">
        <f>Денежные_потоки!G15</f>
        <v>7387052.9230636414</v>
      </c>
      <c r="C7" s="53">
        <v>0</v>
      </c>
    </row>
    <row r="8" spans="1:3" x14ac:dyDescent="0.3">
      <c r="A8" s="33">
        <v>2030</v>
      </c>
      <c r="B8" s="52">
        <f>Денежные_потоки!H15</f>
        <v>13198468.739984231</v>
      </c>
      <c r="C8" s="53">
        <v>0</v>
      </c>
    </row>
    <row r="22" spans="1:3" x14ac:dyDescent="0.3">
      <c r="A22" s="61" t="s">
        <v>156</v>
      </c>
    </row>
    <row r="23" spans="1:3" x14ac:dyDescent="0.3">
      <c r="A23" s="53" t="s">
        <v>91</v>
      </c>
      <c r="B23" s="53" t="s">
        <v>119</v>
      </c>
      <c r="C23" s="53" t="s">
        <v>22</v>
      </c>
    </row>
    <row r="24" spans="1:3" x14ac:dyDescent="0.3">
      <c r="A24" s="33">
        <v>2026</v>
      </c>
      <c r="B24" s="52">
        <f>Прогноз_Выручки!C18</f>
        <v>21244557.649999999</v>
      </c>
      <c r="C24" s="52">
        <f>Затраты!C45</f>
        <v>8780169.4700897932</v>
      </c>
    </row>
    <row r="25" spans="1:3" x14ac:dyDescent="0.3">
      <c r="A25" s="33">
        <v>2027</v>
      </c>
      <c r="B25" s="52">
        <f>Прогноз_Выручки!D18</f>
        <v>30579288.728799999</v>
      </c>
      <c r="C25" s="52">
        <f>Затраты!D45</f>
        <v>8438699.8861768059</v>
      </c>
    </row>
    <row r="26" spans="1:3" x14ac:dyDescent="0.3">
      <c r="A26" s="33">
        <v>2028</v>
      </c>
      <c r="B26" s="52">
        <f>Прогноз_Выручки!E18</f>
        <v>38177045.596623257</v>
      </c>
      <c r="C26" s="52">
        <f>Затраты!E45</f>
        <v>6769293.031491084</v>
      </c>
    </row>
    <row r="27" spans="1:3" x14ac:dyDescent="0.3">
      <c r="A27" s="33">
        <v>2029</v>
      </c>
      <c r="B27" s="52">
        <f>Прогноз_Выручки!F18</f>
        <v>43869576.798815481</v>
      </c>
      <c r="C27" s="52">
        <f>Затраты!F45</f>
        <v>6389882.3826988749</v>
      </c>
    </row>
    <row r="28" spans="1:3" x14ac:dyDescent="0.3">
      <c r="A28" s="33">
        <v>2030</v>
      </c>
      <c r="B28" s="52">
        <f>Прогноз_Выручки!G18</f>
        <v>47478685.05155132</v>
      </c>
      <c r="C28" s="52">
        <f>Затраты!G45</f>
        <v>5403414.6958391294</v>
      </c>
    </row>
    <row r="42" spans="1:4" x14ac:dyDescent="0.3">
      <c r="A42" s="53" t="s">
        <v>157</v>
      </c>
    </row>
    <row r="44" spans="1:4" x14ac:dyDescent="0.3">
      <c r="A44" s="53" t="s">
        <v>158</v>
      </c>
      <c r="B44" s="53" t="s">
        <v>159</v>
      </c>
      <c r="C44" s="53" t="s">
        <v>160</v>
      </c>
      <c r="D44" s="53" t="s">
        <v>161</v>
      </c>
    </row>
    <row r="45" spans="1:4" x14ac:dyDescent="0.3">
      <c r="A45" s="60" t="s">
        <v>162</v>
      </c>
      <c r="B45" s="56">
        <v>2.5000000000000001E-2</v>
      </c>
      <c r="C45" s="56">
        <v>0.22</v>
      </c>
      <c r="D45" s="57">
        <v>2363745</v>
      </c>
    </row>
    <row r="46" spans="1:4" x14ac:dyDescent="0.3">
      <c r="A46" s="60" t="s">
        <v>163</v>
      </c>
      <c r="B46" s="56">
        <f>AVERAGE(Допущения!C25:E25)</f>
        <v>3.3333333333333333E-2</v>
      </c>
      <c r="C46" s="56">
        <f>Допущения!C7</f>
        <v>0.188</v>
      </c>
      <c r="D46" s="57">
        <f>Метрики_Итог!C6</f>
        <v>13198468.739984231</v>
      </c>
    </row>
    <row r="47" spans="1:4" x14ac:dyDescent="0.3">
      <c r="A47" s="60" t="s">
        <v>164</v>
      </c>
      <c r="B47" s="56">
        <v>4.4999999999999998E-2</v>
      </c>
      <c r="C47" s="56">
        <v>0.15</v>
      </c>
      <c r="D47" s="57">
        <v>31676997</v>
      </c>
    </row>
    <row r="69" spans="1:19" x14ac:dyDescent="0.3">
      <c r="A69" s="53"/>
      <c r="L69" s="53"/>
      <c r="M69" s="53"/>
      <c r="N69" s="53"/>
      <c r="O69" s="53"/>
      <c r="P69" s="53"/>
      <c r="Q69" s="53"/>
      <c r="R69" s="53"/>
      <c r="S69" s="53"/>
    </row>
    <row r="70" spans="1:19" x14ac:dyDescent="0.3">
      <c r="A70" s="53"/>
      <c r="L70" s="53"/>
      <c r="M70" s="53"/>
      <c r="N70" s="53"/>
      <c r="O70" s="53"/>
      <c r="P70" s="53"/>
      <c r="Q70" s="53"/>
      <c r="R70" s="53"/>
      <c r="S70" s="53"/>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FC264-1B3A-433F-B397-F3CD8E0E5E52}">
  <dimension ref="A1:T230"/>
  <sheetViews>
    <sheetView zoomScale="55" zoomScaleNormal="55" workbookViewId="0">
      <selection activeCell="W2" sqref="W2"/>
    </sheetView>
  </sheetViews>
  <sheetFormatPr defaultRowHeight="14.4" x14ac:dyDescent="0.3"/>
  <cols>
    <col min="1" max="1" width="12.5546875" style="63" customWidth="1"/>
    <col min="2" max="3" width="8.88671875" style="63"/>
    <col min="4" max="4" width="13.44140625" style="63" customWidth="1"/>
    <col min="5" max="5" width="12.109375" style="63" customWidth="1"/>
    <col min="10" max="10" width="13.44140625" customWidth="1"/>
    <col min="12" max="12" width="15.109375" customWidth="1"/>
    <col min="13" max="13" width="22.5546875" customWidth="1"/>
    <col min="17" max="17" width="12.77734375" customWidth="1"/>
    <col min="19" max="19" width="14.33203125" customWidth="1"/>
    <col min="20" max="20" width="14.44140625" customWidth="1"/>
  </cols>
  <sheetData>
    <row r="1" spans="1:20" ht="31.2" customHeight="1" x14ac:dyDescent="0.3">
      <c r="A1" s="64" t="s">
        <v>50</v>
      </c>
      <c r="I1" s="77" t="s">
        <v>227</v>
      </c>
      <c r="P1" s="77" t="s">
        <v>486</v>
      </c>
    </row>
    <row r="2" spans="1:20" ht="46.8" x14ac:dyDescent="0.3">
      <c r="A2" s="64" t="s">
        <v>165</v>
      </c>
      <c r="B2" s="65" t="s">
        <v>166</v>
      </c>
      <c r="C2" s="65" t="s">
        <v>167</v>
      </c>
      <c r="D2" s="65" t="s">
        <v>168</v>
      </c>
      <c r="E2" s="65" t="s">
        <v>169</v>
      </c>
      <c r="I2" s="78" t="s">
        <v>165</v>
      </c>
      <c r="J2" s="78" t="s">
        <v>166</v>
      </c>
      <c r="K2" s="78" t="s">
        <v>167</v>
      </c>
      <c r="L2" s="78" t="s">
        <v>168</v>
      </c>
      <c r="M2" s="78" t="s">
        <v>169</v>
      </c>
      <c r="P2" s="78" t="s">
        <v>165</v>
      </c>
      <c r="Q2" s="78" t="s">
        <v>166</v>
      </c>
      <c r="R2" s="78" t="s">
        <v>167</v>
      </c>
      <c r="S2" s="78" t="s">
        <v>168</v>
      </c>
      <c r="T2" s="78" t="s">
        <v>169</v>
      </c>
    </row>
    <row r="3" spans="1:20" ht="28.8" customHeight="1" x14ac:dyDescent="0.3">
      <c r="A3" s="103" t="s">
        <v>170</v>
      </c>
      <c r="B3" s="106" t="s">
        <v>171</v>
      </c>
      <c r="C3" s="109">
        <v>59599</v>
      </c>
      <c r="D3" s="66" t="s">
        <v>172</v>
      </c>
      <c r="E3" s="106" t="s">
        <v>211</v>
      </c>
      <c r="I3" s="99" t="s">
        <v>228</v>
      </c>
      <c r="J3" s="102" t="s">
        <v>229</v>
      </c>
      <c r="K3" s="100">
        <v>106214</v>
      </c>
      <c r="L3" s="79" t="s">
        <v>172</v>
      </c>
      <c r="M3" s="78" t="s">
        <v>237</v>
      </c>
      <c r="P3" s="99" t="s">
        <v>228</v>
      </c>
      <c r="Q3" s="99" t="s">
        <v>487</v>
      </c>
      <c r="R3" s="100">
        <v>262344</v>
      </c>
      <c r="S3" s="79" t="s">
        <v>488</v>
      </c>
      <c r="T3" s="98" t="s">
        <v>516</v>
      </c>
    </row>
    <row r="4" spans="1:20" ht="124.8" customHeight="1" x14ac:dyDescent="0.3">
      <c r="A4" s="104"/>
      <c r="B4" s="107"/>
      <c r="C4" s="110"/>
      <c r="D4" s="67" t="s">
        <v>173</v>
      </c>
      <c r="E4" s="107"/>
      <c r="I4" s="99"/>
      <c r="J4" s="102"/>
      <c r="K4" s="100"/>
      <c r="L4" s="79" t="s">
        <v>230</v>
      </c>
      <c r="M4" s="80" t="s">
        <v>238</v>
      </c>
      <c r="P4" s="99"/>
      <c r="Q4" s="99"/>
      <c r="R4" s="100"/>
      <c r="S4" s="79" t="s">
        <v>347</v>
      </c>
      <c r="T4" s="98"/>
    </row>
    <row r="5" spans="1:20" ht="43.2" customHeight="1" x14ac:dyDescent="0.3">
      <c r="A5" s="104"/>
      <c r="B5" s="108"/>
      <c r="C5" s="111"/>
      <c r="D5" s="68" t="s">
        <v>174</v>
      </c>
      <c r="E5" s="108"/>
      <c r="I5" s="99"/>
      <c r="J5" s="102"/>
      <c r="K5" s="100"/>
      <c r="L5" s="79" t="s">
        <v>231</v>
      </c>
      <c r="M5" s="80" t="s">
        <v>239</v>
      </c>
      <c r="P5" s="99"/>
      <c r="Q5" s="99"/>
      <c r="R5" s="100"/>
      <c r="S5" s="79" t="s">
        <v>230</v>
      </c>
      <c r="T5" s="98"/>
    </row>
    <row r="6" spans="1:20" ht="28.8" customHeight="1" x14ac:dyDescent="0.3">
      <c r="A6" s="104"/>
      <c r="B6" s="106" t="s">
        <v>175</v>
      </c>
      <c r="C6" s="109">
        <v>25863</v>
      </c>
      <c r="D6" s="66" t="s">
        <v>176</v>
      </c>
      <c r="E6" s="115" t="s">
        <v>212</v>
      </c>
      <c r="I6" s="99"/>
      <c r="J6" s="102"/>
      <c r="K6" s="100"/>
      <c r="L6" s="79" t="s">
        <v>232</v>
      </c>
      <c r="M6" s="80" t="s">
        <v>240</v>
      </c>
      <c r="P6" s="99"/>
      <c r="Q6" s="99"/>
      <c r="R6" s="100"/>
      <c r="S6" s="79" t="s">
        <v>489</v>
      </c>
      <c r="T6" s="98"/>
    </row>
    <row r="7" spans="1:20" ht="43.2" customHeight="1" x14ac:dyDescent="0.3">
      <c r="A7" s="104"/>
      <c r="B7" s="108"/>
      <c r="C7" s="111"/>
      <c r="D7" s="68" t="s">
        <v>177</v>
      </c>
      <c r="E7" s="117"/>
      <c r="I7" s="99"/>
      <c r="J7" s="102"/>
      <c r="K7" s="100"/>
      <c r="L7" s="78" t="s">
        <v>233</v>
      </c>
      <c r="M7" s="80" t="s">
        <v>241</v>
      </c>
      <c r="P7" s="99"/>
      <c r="Q7" s="99"/>
      <c r="R7" s="100"/>
      <c r="S7" s="78" t="s">
        <v>233</v>
      </c>
      <c r="T7" s="98"/>
    </row>
    <row r="8" spans="1:20" ht="62.4" x14ac:dyDescent="0.3">
      <c r="A8" s="104"/>
      <c r="B8" s="65" t="s">
        <v>178</v>
      </c>
      <c r="C8" s="65">
        <v>612</v>
      </c>
      <c r="D8" s="69"/>
      <c r="E8" s="69"/>
      <c r="I8" s="99"/>
      <c r="J8" s="102"/>
      <c r="K8" s="100"/>
      <c r="L8" s="78" t="s">
        <v>234</v>
      </c>
      <c r="M8" s="80" t="s">
        <v>242</v>
      </c>
      <c r="P8" s="99"/>
      <c r="Q8" s="99"/>
      <c r="R8" s="100"/>
      <c r="S8" s="78" t="s">
        <v>234</v>
      </c>
      <c r="T8" s="98"/>
    </row>
    <row r="9" spans="1:20" ht="96.6" customHeight="1" x14ac:dyDescent="0.3">
      <c r="A9" s="104"/>
      <c r="B9" s="65" t="s">
        <v>179</v>
      </c>
      <c r="C9" s="70">
        <v>14719</v>
      </c>
      <c r="D9" s="71" t="s">
        <v>213</v>
      </c>
      <c r="E9" s="65" t="s">
        <v>214</v>
      </c>
      <c r="I9" s="99"/>
      <c r="J9" s="102"/>
      <c r="K9" s="100"/>
      <c r="L9" s="78" t="s">
        <v>235</v>
      </c>
      <c r="M9" s="80" t="s">
        <v>243</v>
      </c>
      <c r="P9" s="99"/>
      <c r="Q9" s="99"/>
      <c r="R9" s="100"/>
      <c r="S9" s="78" t="s">
        <v>235</v>
      </c>
      <c r="T9" s="98"/>
    </row>
    <row r="10" spans="1:20" ht="82.8" customHeight="1" x14ac:dyDescent="0.3">
      <c r="A10" s="104"/>
      <c r="B10" s="65" t="s">
        <v>180</v>
      </c>
      <c r="C10" s="70">
        <v>4473</v>
      </c>
      <c r="D10" s="71" t="s">
        <v>215</v>
      </c>
      <c r="E10" s="71" t="s">
        <v>216</v>
      </c>
      <c r="I10" s="99"/>
      <c r="J10" s="102"/>
      <c r="K10" s="100"/>
      <c r="L10" s="78" t="s">
        <v>236</v>
      </c>
      <c r="M10" s="80" t="s">
        <v>244</v>
      </c>
      <c r="P10" s="99"/>
      <c r="Q10" s="99"/>
      <c r="R10" s="100"/>
      <c r="S10" s="78" t="s">
        <v>236</v>
      </c>
      <c r="T10" s="98"/>
    </row>
    <row r="11" spans="1:20" ht="109.2" customHeight="1" x14ac:dyDescent="0.3">
      <c r="A11" s="104"/>
      <c r="B11" s="65" t="s">
        <v>181</v>
      </c>
      <c r="C11" s="70">
        <v>1047</v>
      </c>
      <c r="D11" s="69"/>
      <c r="E11" s="69"/>
      <c r="I11" s="99"/>
      <c r="J11" s="102" t="s">
        <v>245</v>
      </c>
      <c r="K11" s="100">
        <v>22713</v>
      </c>
      <c r="L11" s="79" t="s">
        <v>172</v>
      </c>
      <c r="M11" s="78" t="s">
        <v>249</v>
      </c>
      <c r="P11" s="99"/>
      <c r="Q11" s="99" t="s">
        <v>490</v>
      </c>
      <c r="R11" s="100">
        <v>8338</v>
      </c>
      <c r="S11" s="79" t="s">
        <v>491</v>
      </c>
      <c r="T11" s="79" t="s">
        <v>493</v>
      </c>
    </row>
    <row r="12" spans="1:20" ht="46.8" customHeight="1" x14ac:dyDescent="0.3">
      <c r="A12" s="104"/>
      <c r="B12" s="65" t="s">
        <v>182</v>
      </c>
      <c r="C12" s="70">
        <v>1514</v>
      </c>
      <c r="D12" s="69"/>
      <c r="E12" s="69"/>
      <c r="I12" s="99"/>
      <c r="J12" s="102"/>
      <c r="K12" s="100"/>
      <c r="L12" s="79" t="s">
        <v>230</v>
      </c>
      <c r="M12" s="80" t="s">
        <v>250</v>
      </c>
      <c r="P12" s="99"/>
      <c r="Q12" s="99"/>
      <c r="R12" s="100"/>
      <c r="S12" s="79" t="s">
        <v>492</v>
      </c>
      <c r="T12" s="84" t="s">
        <v>494</v>
      </c>
    </row>
    <row r="13" spans="1:20" ht="96.6" customHeight="1" x14ac:dyDescent="0.3">
      <c r="A13" s="104"/>
      <c r="B13" s="65" t="s">
        <v>183</v>
      </c>
      <c r="C13" s="70">
        <v>2960</v>
      </c>
      <c r="D13" s="71" t="s">
        <v>217</v>
      </c>
      <c r="E13" s="71" t="s">
        <v>218</v>
      </c>
      <c r="I13" s="99"/>
      <c r="J13" s="102"/>
      <c r="K13" s="100"/>
      <c r="L13" s="79" t="s">
        <v>231</v>
      </c>
      <c r="M13" s="80" t="s">
        <v>251</v>
      </c>
      <c r="P13" s="99"/>
      <c r="Q13" s="99"/>
      <c r="R13" s="100"/>
      <c r="S13" s="79" t="s">
        <v>305</v>
      </c>
      <c r="T13" s="83" t="s">
        <v>495</v>
      </c>
    </row>
    <row r="14" spans="1:20" ht="124.8" x14ac:dyDescent="0.3">
      <c r="A14" s="105"/>
      <c r="B14" s="65" t="s">
        <v>184</v>
      </c>
      <c r="C14" s="70">
        <v>1064</v>
      </c>
      <c r="D14" s="69"/>
      <c r="E14" s="69"/>
      <c r="I14" s="99"/>
      <c r="J14" s="102"/>
      <c r="K14" s="100"/>
      <c r="L14" s="79" t="s">
        <v>232</v>
      </c>
      <c r="M14" s="80" t="s">
        <v>252</v>
      </c>
      <c r="P14" s="99"/>
      <c r="Q14" s="99"/>
      <c r="R14" s="100"/>
      <c r="S14" s="79" t="s">
        <v>347</v>
      </c>
      <c r="T14" s="83" t="s">
        <v>496</v>
      </c>
    </row>
    <row r="15" spans="1:20" ht="100.8" customHeight="1" x14ac:dyDescent="0.3">
      <c r="A15" s="103" t="s">
        <v>185</v>
      </c>
      <c r="B15" s="106" t="s">
        <v>186</v>
      </c>
      <c r="C15" s="109">
        <v>92355</v>
      </c>
      <c r="D15" s="115" t="s">
        <v>219</v>
      </c>
      <c r="E15" s="66" t="s">
        <v>187</v>
      </c>
      <c r="I15" s="99"/>
      <c r="J15" s="102"/>
      <c r="K15" s="100"/>
      <c r="L15" s="78" t="s">
        <v>246</v>
      </c>
      <c r="M15" s="80" t="s">
        <v>253</v>
      </c>
      <c r="P15" s="99"/>
      <c r="Q15" s="99"/>
      <c r="R15" s="100"/>
      <c r="S15" s="79" t="s">
        <v>260</v>
      </c>
      <c r="T15" s="83" t="s">
        <v>497</v>
      </c>
    </row>
    <row r="16" spans="1:20" ht="158.4" customHeight="1" x14ac:dyDescent="0.3">
      <c r="A16" s="104"/>
      <c r="B16" s="107"/>
      <c r="C16" s="110"/>
      <c r="D16" s="116"/>
      <c r="E16" s="67" t="s">
        <v>188</v>
      </c>
      <c r="I16" s="99"/>
      <c r="J16" s="102"/>
      <c r="K16" s="100"/>
      <c r="L16" s="78" t="s">
        <v>247</v>
      </c>
      <c r="M16" s="80" t="s">
        <v>254</v>
      </c>
      <c r="P16" s="99"/>
      <c r="Q16" s="99"/>
      <c r="R16" s="100"/>
      <c r="S16" s="81"/>
      <c r="T16" s="85" t="s">
        <v>498</v>
      </c>
    </row>
    <row r="17" spans="1:20" ht="115.2" customHeight="1" x14ac:dyDescent="0.3">
      <c r="A17" s="104"/>
      <c r="B17" s="107"/>
      <c r="C17" s="110"/>
      <c r="D17" s="116"/>
      <c r="E17" s="67" t="s">
        <v>189</v>
      </c>
      <c r="I17" s="99"/>
      <c r="J17" s="102"/>
      <c r="K17" s="100"/>
      <c r="L17" s="78" t="s">
        <v>248</v>
      </c>
      <c r="M17" s="80" t="s">
        <v>255</v>
      </c>
      <c r="P17" s="99"/>
      <c r="Q17" s="99"/>
      <c r="R17" s="100"/>
      <c r="S17" s="81"/>
      <c r="T17" s="81"/>
    </row>
    <row r="18" spans="1:20" ht="28.8" customHeight="1" x14ac:dyDescent="0.3">
      <c r="A18" s="104"/>
      <c r="B18" s="107"/>
      <c r="C18" s="110"/>
      <c r="D18" s="116"/>
      <c r="E18" s="67" t="s">
        <v>190</v>
      </c>
      <c r="I18" s="99"/>
      <c r="J18" s="102"/>
      <c r="K18" s="100"/>
      <c r="L18" s="78" t="s">
        <v>485</v>
      </c>
      <c r="M18" s="80" t="s">
        <v>256</v>
      </c>
      <c r="P18" s="99" t="s">
        <v>170</v>
      </c>
      <c r="Q18" s="99" t="s">
        <v>499</v>
      </c>
      <c r="R18" s="100">
        <v>308295</v>
      </c>
      <c r="S18" s="79" t="s">
        <v>263</v>
      </c>
      <c r="T18" s="101" t="s">
        <v>517</v>
      </c>
    </row>
    <row r="19" spans="1:20" ht="46.8" customHeight="1" x14ac:dyDescent="0.3">
      <c r="A19" s="104"/>
      <c r="B19" s="108"/>
      <c r="C19" s="111"/>
      <c r="D19" s="117"/>
      <c r="E19" s="72" t="s">
        <v>191</v>
      </c>
      <c r="I19" s="99"/>
      <c r="J19" s="102"/>
      <c r="K19" s="100"/>
      <c r="L19" s="81"/>
      <c r="M19" s="80" t="s">
        <v>257</v>
      </c>
      <c r="P19" s="99"/>
      <c r="Q19" s="99"/>
      <c r="R19" s="100"/>
      <c r="S19" s="79" t="s">
        <v>500</v>
      </c>
      <c r="T19" s="101"/>
    </row>
    <row r="20" spans="1:20" ht="187.2" customHeight="1" x14ac:dyDescent="0.3">
      <c r="A20" s="104"/>
      <c r="B20" s="65" t="s">
        <v>192</v>
      </c>
      <c r="C20" s="70">
        <v>342391</v>
      </c>
      <c r="D20" s="73" t="s">
        <v>193</v>
      </c>
      <c r="E20" s="69"/>
      <c r="I20" s="99"/>
      <c r="J20" s="102"/>
      <c r="K20" s="100"/>
      <c r="L20" s="81"/>
      <c r="M20" s="80" t="s">
        <v>258</v>
      </c>
      <c r="P20" s="99"/>
      <c r="Q20" s="99"/>
      <c r="R20" s="100"/>
      <c r="S20" s="79" t="s">
        <v>173</v>
      </c>
      <c r="T20" s="101"/>
    </row>
    <row r="21" spans="1:20" ht="409.6" customHeight="1" x14ac:dyDescent="0.3">
      <c r="A21" s="104"/>
      <c r="B21" s="106" t="s">
        <v>194</v>
      </c>
      <c r="C21" s="109">
        <v>9487</v>
      </c>
      <c r="D21" s="118" t="s">
        <v>195</v>
      </c>
      <c r="E21" s="74" t="s">
        <v>196</v>
      </c>
      <c r="I21" s="99"/>
      <c r="J21" s="102" t="s">
        <v>259</v>
      </c>
      <c r="K21" s="100">
        <v>19756</v>
      </c>
      <c r="L21" s="79" t="s">
        <v>172</v>
      </c>
      <c r="M21" s="78" t="s">
        <v>237</v>
      </c>
      <c r="P21" s="99"/>
      <c r="Q21" s="99"/>
      <c r="R21" s="100"/>
      <c r="S21" s="79" t="s">
        <v>260</v>
      </c>
      <c r="T21" s="101"/>
    </row>
    <row r="22" spans="1:20" ht="69" customHeight="1" x14ac:dyDescent="0.3">
      <c r="A22" s="104"/>
      <c r="B22" s="107"/>
      <c r="C22" s="110"/>
      <c r="D22" s="119"/>
      <c r="E22" s="75" t="s">
        <v>197</v>
      </c>
      <c r="I22" s="99"/>
      <c r="J22" s="102"/>
      <c r="K22" s="100"/>
      <c r="L22" s="79" t="s">
        <v>230</v>
      </c>
      <c r="M22" s="80" t="s">
        <v>250</v>
      </c>
      <c r="P22" s="99"/>
      <c r="Q22" s="99"/>
      <c r="R22" s="100"/>
      <c r="S22" s="79" t="s">
        <v>501</v>
      </c>
      <c r="T22" s="101"/>
    </row>
    <row r="23" spans="1:20" ht="140.4" customHeight="1" x14ac:dyDescent="0.3">
      <c r="A23" s="104"/>
      <c r="B23" s="107"/>
      <c r="C23" s="110"/>
      <c r="D23" s="119"/>
      <c r="E23" s="75" t="s">
        <v>220</v>
      </c>
      <c r="I23" s="99"/>
      <c r="J23" s="102"/>
      <c r="K23" s="100"/>
      <c r="L23" s="79" t="s">
        <v>260</v>
      </c>
      <c r="M23" s="80" t="s">
        <v>251</v>
      </c>
      <c r="P23" s="99"/>
      <c r="Q23" s="99" t="s">
        <v>502</v>
      </c>
      <c r="R23" s="100">
        <v>8588</v>
      </c>
      <c r="S23" s="79" t="s">
        <v>263</v>
      </c>
      <c r="T23" s="102" t="s">
        <v>504</v>
      </c>
    </row>
    <row r="24" spans="1:20" ht="46.8" x14ac:dyDescent="0.3">
      <c r="A24" s="104"/>
      <c r="B24" s="107"/>
      <c r="C24" s="110"/>
      <c r="D24" s="119"/>
      <c r="E24" s="67" t="s">
        <v>198</v>
      </c>
      <c r="I24" s="99"/>
      <c r="J24" s="102"/>
      <c r="K24" s="100"/>
      <c r="L24" s="81"/>
      <c r="M24" s="80" t="s">
        <v>252</v>
      </c>
      <c r="P24" s="99"/>
      <c r="Q24" s="99"/>
      <c r="R24" s="100"/>
      <c r="S24" s="79" t="s">
        <v>500</v>
      </c>
      <c r="T24" s="102"/>
    </row>
    <row r="25" spans="1:20" ht="100.8" customHeight="1" x14ac:dyDescent="0.3">
      <c r="A25" s="104"/>
      <c r="B25" s="108"/>
      <c r="C25" s="111"/>
      <c r="D25" s="120"/>
      <c r="E25" s="68" t="s">
        <v>199</v>
      </c>
      <c r="I25" s="99"/>
      <c r="J25" s="102"/>
      <c r="K25" s="100"/>
      <c r="L25" s="81"/>
      <c r="M25" s="80" t="s">
        <v>253</v>
      </c>
      <c r="P25" s="99"/>
      <c r="Q25" s="99"/>
      <c r="R25" s="100"/>
      <c r="S25" s="79" t="s">
        <v>503</v>
      </c>
      <c r="T25" s="102"/>
    </row>
    <row r="26" spans="1:20" ht="93.6" x14ac:dyDescent="0.3">
      <c r="A26" s="104"/>
      <c r="B26" s="65" t="s">
        <v>200</v>
      </c>
      <c r="C26" s="70">
        <v>1786</v>
      </c>
      <c r="D26" s="69"/>
      <c r="E26" s="69"/>
      <c r="I26" s="99"/>
      <c r="J26" s="102"/>
      <c r="K26" s="100"/>
      <c r="L26" s="81"/>
      <c r="M26" s="80" t="s">
        <v>261</v>
      </c>
      <c r="P26" s="99" t="s">
        <v>205</v>
      </c>
      <c r="Q26" s="99" t="s">
        <v>505</v>
      </c>
      <c r="R26" s="100">
        <v>2935</v>
      </c>
      <c r="S26" s="79" t="s">
        <v>263</v>
      </c>
      <c r="T26" s="78" t="s">
        <v>507</v>
      </c>
    </row>
    <row r="27" spans="1:20" ht="276" customHeight="1" x14ac:dyDescent="0.3">
      <c r="A27" s="105"/>
      <c r="B27" s="65" t="s">
        <v>201</v>
      </c>
      <c r="C27" s="70">
        <v>33658</v>
      </c>
      <c r="D27" s="71" t="s">
        <v>221</v>
      </c>
      <c r="E27" s="65" t="s">
        <v>222</v>
      </c>
      <c r="I27" s="99"/>
      <c r="J27" s="102"/>
      <c r="K27" s="100"/>
      <c r="L27" s="81"/>
      <c r="M27" s="80" t="s">
        <v>255</v>
      </c>
      <c r="P27" s="99"/>
      <c r="Q27" s="99"/>
      <c r="R27" s="100"/>
      <c r="S27" s="79" t="s">
        <v>500</v>
      </c>
      <c r="T27" s="85" t="s">
        <v>518</v>
      </c>
    </row>
    <row r="28" spans="1:20" ht="70.2" customHeight="1" x14ac:dyDescent="0.3">
      <c r="A28" s="103" t="s">
        <v>202</v>
      </c>
      <c r="B28" s="65" t="s">
        <v>203</v>
      </c>
      <c r="C28" s="65">
        <v>873</v>
      </c>
      <c r="D28" s="65" t="s">
        <v>223</v>
      </c>
      <c r="E28" s="69"/>
      <c r="I28" s="99"/>
      <c r="J28" s="102"/>
      <c r="K28" s="100"/>
      <c r="L28" s="81"/>
      <c r="M28" s="80" t="s">
        <v>257</v>
      </c>
      <c r="P28" s="99"/>
      <c r="Q28" s="99"/>
      <c r="R28" s="100"/>
      <c r="S28" s="79" t="s">
        <v>506</v>
      </c>
      <c r="T28" s="85" t="s">
        <v>519</v>
      </c>
    </row>
    <row r="29" spans="1:20" ht="296.39999999999998" customHeight="1" x14ac:dyDescent="0.3">
      <c r="A29" s="105"/>
      <c r="B29" s="65" t="s">
        <v>204</v>
      </c>
      <c r="C29" s="65">
        <v>687</v>
      </c>
      <c r="D29" s="71" t="s">
        <v>224</v>
      </c>
      <c r="E29" s="69"/>
      <c r="I29" s="99"/>
      <c r="J29" s="99" t="s">
        <v>262</v>
      </c>
      <c r="K29" s="100">
        <v>10037</v>
      </c>
      <c r="L29" s="79" t="s">
        <v>172</v>
      </c>
      <c r="M29" s="78" t="s">
        <v>270</v>
      </c>
      <c r="P29" s="99"/>
      <c r="Q29" s="99"/>
      <c r="R29" s="100"/>
      <c r="S29" s="81"/>
      <c r="T29" s="85" t="s">
        <v>520</v>
      </c>
    </row>
    <row r="30" spans="1:20" ht="57.6" customHeight="1" x14ac:dyDescent="0.3">
      <c r="A30" s="103" t="s">
        <v>205</v>
      </c>
      <c r="B30" s="106" t="s">
        <v>206</v>
      </c>
      <c r="C30" s="109">
        <v>1097</v>
      </c>
      <c r="D30" s="66" t="s">
        <v>207</v>
      </c>
      <c r="E30" s="112"/>
      <c r="I30" s="99"/>
      <c r="J30" s="99"/>
      <c r="K30" s="100"/>
      <c r="L30" s="79" t="s">
        <v>263</v>
      </c>
      <c r="M30" s="80" t="s">
        <v>271</v>
      </c>
      <c r="P30" s="99"/>
      <c r="Q30" s="99"/>
      <c r="R30" s="100"/>
      <c r="S30" s="81"/>
      <c r="T30" s="85" t="s">
        <v>521</v>
      </c>
    </row>
    <row r="31" spans="1:20" ht="57.6" customHeight="1" x14ac:dyDescent="0.3">
      <c r="A31" s="104"/>
      <c r="B31" s="107"/>
      <c r="C31" s="110"/>
      <c r="D31" s="67" t="s">
        <v>208</v>
      </c>
      <c r="E31" s="113"/>
      <c r="I31" s="99"/>
      <c r="J31" s="99"/>
      <c r="K31" s="100"/>
      <c r="L31" s="79" t="s">
        <v>264</v>
      </c>
      <c r="M31" s="80" t="s">
        <v>272</v>
      </c>
      <c r="P31" s="99"/>
      <c r="Q31" s="99"/>
      <c r="R31" s="100"/>
      <c r="S31" s="81"/>
      <c r="T31" s="85" t="s">
        <v>522</v>
      </c>
    </row>
    <row r="32" spans="1:20" ht="97.8" customHeight="1" x14ac:dyDescent="0.3">
      <c r="A32" s="104"/>
      <c r="B32" s="108"/>
      <c r="C32" s="111"/>
      <c r="D32" s="76" t="s">
        <v>225</v>
      </c>
      <c r="E32" s="114"/>
      <c r="I32" s="99"/>
      <c r="J32" s="99"/>
      <c r="K32" s="100"/>
      <c r="L32" s="79" t="s">
        <v>265</v>
      </c>
      <c r="M32" s="80" t="s">
        <v>273</v>
      </c>
      <c r="P32" s="99"/>
      <c r="Q32" s="99"/>
      <c r="R32" s="100"/>
      <c r="S32" s="81"/>
      <c r="T32" s="79" t="s">
        <v>508</v>
      </c>
    </row>
    <row r="33" spans="1:20" ht="96.6" customHeight="1" x14ac:dyDescent="0.3">
      <c r="A33" s="105"/>
      <c r="B33" s="65" t="s">
        <v>209</v>
      </c>
      <c r="C33" s="70">
        <v>1949</v>
      </c>
      <c r="D33" s="65" t="s">
        <v>210</v>
      </c>
      <c r="E33" s="65" t="s">
        <v>226</v>
      </c>
      <c r="I33" s="99"/>
      <c r="J33" s="99"/>
      <c r="K33" s="100"/>
      <c r="L33" s="78" t="s">
        <v>266</v>
      </c>
      <c r="M33" s="80" t="s">
        <v>274</v>
      </c>
      <c r="P33" s="99"/>
      <c r="Q33" s="99" t="s">
        <v>509</v>
      </c>
      <c r="R33" s="100">
        <v>1837</v>
      </c>
      <c r="S33" s="79" t="s">
        <v>263</v>
      </c>
      <c r="T33" s="84" t="s">
        <v>523</v>
      </c>
    </row>
    <row r="34" spans="1:20" ht="78" customHeight="1" x14ac:dyDescent="0.3">
      <c r="I34" s="99"/>
      <c r="J34" s="99"/>
      <c r="K34" s="100"/>
      <c r="L34" s="79" t="s">
        <v>267</v>
      </c>
      <c r="M34" s="80" t="s">
        <v>275</v>
      </c>
      <c r="P34" s="99"/>
      <c r="Q34" s="99"/>
      <c r="R34" s="100"/>
      <c r="S34" s="79" t="s">
        <v>500</v>
      </c>
      <c r="T34" s="85" t="s">
        <v>524</v>
      </c>
    </row>
    <row r="35" spans="1:20" ht="46.8" customHeight="1" x14ac:dyDescent="0.3">
      <c r="I35" s="99"/>
      <c r="J35" s="99"/>
      <c r="K35" s="100"/>
      <c r="L35" s="78" t="s">
        <v>268</v>
      </c>
      <c r="M35" s="81"/>
      <c r="P35" s="99"/>
      <c r="Q35" s="99"/>
      <c r="R35" s="100"/>
      <c r="S35" s="79" t="s">
        <v>506</v>
      </c>
      <c r="T35" s="85" t="s">
        <v>525</v>
      </c>
    </row>
    <row r="36" spans="1:20" ht="46.8" customHeight="1" x14ac:dyDescent="0.3">
      <c r="I36" s="99"/>
      <c r="J36" s="99"/>
      <c r="K36" s="100"/>
      <c r="L36" s="78" t="s">
        <v>269</v>
      </c>
      <c r="M36" s="81"/>
      <c r="P36" s="99"/>
      <c r="Q36" s="99"/>
      <c r="R36" s="100"/>
      <c r="S36" s="81"/>
      <c r="T36" s="85" t="s">
        <v>526</v>
      </c>
    </row>
    <row r="37" spans="1:20" ht="93.6" customHeight="1" x14ac:dyDescent="0.3">
      <c r="I37" s="99"/>
      <c r="J37" s="99" t="s">
        <v>276</v>
      </c>
      <c r="K37" s="100">
        <v>18863</v>
      </c>
      <c r="L37" s="79" t="s">
        <v>263</v>
      </c>
      <c r="M37" s="78" t="s">
        <v>283</v>
      </c>
      <c r="P37" s="99"/>
      <c r="Q37" s="99"/>
      <c r="R37" s="100"/>
      <c r="S37" s="81"/>
      <c r="T37" s="78" t="s">
        <v>510</v>
      </c>
    </row>
    <row r="38" spans="1:20" ht="171.6" customHeight="1" x14ac:dyDescent="0.3">
      <c r="I38" s="99"/>
      <c r="J38" s="99"/>
      <c r="K38" s="100"/>
      <c r="L38" s="79" t="s">
        <v>172</v>
      </c>
      <c r="M38" s="80" t="s">
        <v>284</v>
      </c>
      <c r="P38" s="99"/>
      <c r="Q38" s="99" t="s">
        <v>511</v>
      </c>
      <c r="R38" s="100">
        <v>10915</v>
      </c>
      <c r="S38" s="79" t="s">
        <v>263</v>
      </c>
      <c r="T38" s="84" t="s">
        <v>512</v>
      </c>
    </row>
    <row r="39" spans="1:20" ht="78" customHeight="1" x14ac:dyDescent="0.3">
      <c r="I39" s="99"/>
      <c r="J39" s="99"/>
      <c r="K39" s="100"/>
      <c r="L39" s="79" t="s">
        <v>277</v>
      </c>
      <c r="M39" s="80" t="s">
        <v>285</v>
      </c>
      <c r="P39" s="99"/>
      <c r="Q39" s="99"/>
      <c r="R39" s="100"/>
      <c r="S39" s="79" t="s">
        <v>500</v>
      </c>
      <c r="T39" s="85" t="s">
        <v>513</v>
      </c>
    </row>
    <row r="40" spans="1:20" ht="140.4" customHeight="1" x14ac:dyDescent="0.3">
      <c r="I40" s="99"/>
      <c r="J40" s="99"/>
      <c r="K40" s="100"/>
      <c r="L40" s="79" t="s">
        <v>230</v>
      </c>
      <c r="M40" s="80" t="s">
        <v>286</v>
      </c>
      <c r="P40" s="99"/>
      <c r="Q40" s="99"/>
      <c r="R40" s="100"/>
      <c r="S40" s="79" t="s">
        <v>506</v>
      </c>
      <c r="T40" s="85" t="s">
        <v>514</v>
      </c>
    </row>
    <row r="41" spans="1:20" ht="46.8" customHeight="1" x14ac:dyDescent="0.3">
      <c r="I41" s="99"/>
      <c r="J41" s="99"/>
      <c r="K41" s="100"/>
      <c r="L41" s="79" t="s">
        <v>278</v>
      </c>
      <c r="M41" s="80" t="s">
        <v>287</v>
      </c>
      <c r="P41" s="99"/>
      <c r="Q41" s="99"/>
      <c r="R41" s="100"/>
      <c r="S41" s="81"/>
      <c r="T41" s="85" t="s">
        <v>515</v>
      </c>
    </row>
    <row r="42" spans="1:20" ht="31.2" x14ac:dyDescent="0.3">
      <c r="I42" s="99"/>
      <c r="J42" s="99"/>
      <c r="K42" s="100"/>
      <c r="L42" s="79" t="s">
        <v>260</v>
      </c>
      <c r="M42" s="80" t="s">
        <v>288</v>
      </c>
    </row>
    <row r="43" spans="1:20" ht="46.8" x14ac:dyDescent="0.3">
      <c r="I43" s="99"/>
      <c r="J43" s="99"/>
      <c r="K43" s="100"/>
      <c r="L43" s="81"/>
      <c r="M43" s="80" t="s">
        <v>289</v>
      </c>
    </row>
    <row r="44" spans="1:20" ht="46.8" x14ac:dyDescent="0.3">
      <c r="I44" s="99"/>
      <c r="J44" s="99"/>
      <c r="K44" s="100"/>
      <c r="L44" s="78" t="s">
        <v>279</v>
      </c>
      <c r="M44" s="80" t="s">
        <v>290</v>
      </c>
    </row>
    <row r="45" spans="1:20" ht="93.6" x14ac:dyDescent="0.3">
      <c r="I45" s="99"/>
      <c r="J45" s="99"/>
      <c r="K45" s="100"/>
      <c r="L45" s="78" t="s">
        <v>280</v>
      </c>
      <c r="M45" s="78" t="s">
        <v>291</v>
      </c>
    </row>
    <row r="46" spans="1:20" ht="31.2" x14ac:dyDescent="0.3">
      <c r="I46" s="99"/>
      <c r="J46" s="99"/>
      <c r="K46" s="100"/>
      <c r="L46" s="78" t="s">
        <v>281</v>
      </c>
      <c r="M46" s="81"/>
    </row>
    <row r="47" spans="1:20" ht="15.6" x14ac:dyDescent="0.3">
      <c r="I47" s="99"/>
      <c r="J47" s="99"/>
      <c r="K47" s="100"/>
      <c r="L47" s="78" t="s">
        <v>282</v>
      </c>
      <c r="M47" s="81"/>
    </row>
    <row r="48" spans="1:20" ht="46.8" x14ac:dyDescent="0.3">
      <c r="I48" s="99"/>
      <c r="J48" s="82" t="s">
        <v>292</v>
      </c>
      <c r="K48" s="100">
        <v>1239</v>
      </c>
      <c r="L48" s="79" t="s">
        <v>172</v>
      </c>
      <c r="M48" s="78" t="s">
        <v>298</v>
      </c>
    </row>
    <row r="49" spans="9:13" ht="62.4" x14ac:dyDescent="0.3">
      <c r="I49" s="99"/>
      <c r="J49" s="79" t="s">
        <v>293</v>
      </c>
      <c r="K49" s="100"/>
      <c r="L49" s="79" t="s">
        <v>278</v>
      </c>
      <c r="M49" s="80" t="s">
        <v>299</v>
      </c>
    </row>
    <row r="50" spans="9:13" ht="31.2" x14ac:dyDescent="0.3">
      <c r="I50" s="99"/>
      <c r="J50" s="81"/>
      <c r="K50" s="100"/>
      <c r="L50" s="79" t="s">
        <v>294</v>
      </c>
      <c r="M50" s="80" t="s">
        <v>300</v>
      </c>
    </row>
    <row r="51" spans="9:13" ht="15.6" x14ac:dyDescent="0.3">
      <c r="I51" s="99"/>
      <c r="J51" s="81"/>
      <c r="K51" s="100"/>
      <c r="L51" s="79" t="s">
        <v>295</v>
      </c>
      <c r="M51" s="80" t="s">
        <v>301</v>
      </c>
    </row>
    <row r="52" spans="9:13" ht="15.6" x14ac:dyDescent="0.3">
      <c r="I52" s="99"/>
      <c r="J52" s="81"/>
      <c r="K52" s="100"/>
      <c r="L52" s="81"/>
      <c r="M52" s="80" t="s">
        <v>302</v>
      </c>
    </row>
    <row r="53" spans="9:13" ht="31.2" x14ac:dyDescent="0.3">
      <c r="I53" s="99"/>
      <c r="J53" s="81"/>
      <c r="K53" s="100"/>
      <c r="L53" s="78" t="s">
        <v>296</v>
      </c>
      <c r="M53" s="81"/>
    </row>
    <row r="54" spans="9:13" ht="31.2" x14ac:dyDescent="0.3">
      <c r="I54" s="99"/>
      <c r="J54" s="81"/>
      <c r="K54" s="100"/>
      <c r="L54" s="78" t="s">
        <v>281</v>
      </c>
      <c r="M54" s="81"/>
    </row>
    <row r="55" spans="9:13" ht="31.2" x14ac:dyDescent="0.3">
      <c r="I55" s="99"/>
      <c r="J55" s="81"/>
      <c r="K55" s="100"/>
      <c r="L55" s="78" t="s">
        <v>248</v>
      </c>
      <c r="M55" s="81"/>
    </row>
    <row r="56" spans="9:13" ht="31.2" x14ac:dyDescent="0.3">
      <c r="I56" s="99"/>
      <c r="J56" s="81"/>
      <c r="K56" s="100"/>
      <c r="L56" s="78" t="s">
        <v>297</v>
      </c>
      <c r="M56" s="81"/>
    </row>
    <row r="57" spans="9:13" ht="46.8" x14ac:dyDescent="0.3">
      <c r="I57" s="99"/>
      <c r="J57" s="99" t="s">
        <v>303</v>
      </c>
      <c r="K57" s="100">
        <v>23113</v>
      </c>
      <c r="L57" s="79" t="s">
        <v>304</v>
      </c>
      <c r="M57" s="78" t="s">
        <v>311</v>
      </c>
    </row>
    <row r="58" spans="9:13" ht="31.2" x14ac:dyDescent="0.3">
      <c r="I58" s="99"/>
      <c r="J58" s="99"/>
      <c r="K58" s="100"/>
      <c r="L58" s="79" t="s">
        <v>277</v>
      </c>
      <c r="M58" s="80" t="s">
        <v>312</v>
      </c>
    </row>
    <row r="59" spans="9:13" ht="31.2" x14ac:dyDescent="0.3">
      <c r="I59" s="99"/>
      <c r="J59" s="99"/>
      <c r="K59" s="100"/>
      <c r="L59" s="79" t="s">
        <v>172</v>
      </c>
      <c r="M59" s="80" t="s">
        <v>313</v>
      </c>
    </row>
    <row r="60" spans="9:13" ht="46.8" x14ac:dyDescent="0.3">
      <c r="I60" s="99"/>
      <c r="J60" s="99"/>
      <c r="K60" s="100"/>
      <c r="L60" s="79" t="s">
        <v>260</v>
      </c>
      <c r="M60" s="80" t="s">
        <v>314</v>
      </c>
    </row>
    <row r="61" spans="9:13" ht="31.2" x14ac:dyDescent="0.3">
      <c r="I61" s="99"/>
      <c r="J61" s="99"/>
      <c r="K61" s="100"/>
      <c r="L61" s="79" t="s">
        <v>305</v>
      </c>
      <c r="M61" s="80" t="s">
        <v>315</v>
      </c>
    </row>
    <row r="62" spans="9:13" ht="15.6" x14ac:dyDescent="0.3">
      <c r="I62" s="99"/>
      <c r="J62" s="99"/>
      <c r="K62" s="100"/>
      <c r="L62" s="79" t="s">
        <v>306</v>
      </c>
      <c r="M62" s="80" t="s">
        <v>316</v>
      </c>
    </row>
    <row r="63" spans="9:13" ht="15.6" x14ac:dyDescent="0.3">
      <c r="I63" s="99"/>
      <c r="J63" s="99"/>
      <c r="K63" s="100"/>
      <c r="L63" s="81"/>
      <c r="M63" s="80" t="s">
        <v>317</v>
      </c>
    </row>
    <row r="64" spans="9:13" ht="31.2" x14ac:dyDescent="0.3">
      <c r="I64" s="99"/>
      <c r="J64" s="99"/>
      <c r="K64" s="100"/>
      <c r="L64" s="78" t="s">
        <v>307</v>
      </c>
      <c r="M64" s="81"/>
    </row>
    <row r="65" spans="9:13" ht="31.2" x14ac:dyDescent="0.3">
      <c r="I65" s="99"/>
      <c r="J65" s="99"/>
      <c r="K65" s="100"/>
      <c r="L65" s="78" t="s">
        <v>308</v>
      </c>
      <c r="M65" s="81"/>
    </row>
    <row r="66" spans="9:13" ht="31.2" x14ac:dyDescent="0.3">
      <c r="I66" s="99"/>
      <c r="J66" s="99"/>
      <c r="K66" s="100"/>
      <c r="L66" s="78" t="s">
        <v>309</v>
      </c>
      <c r="M66" s="81"/>
    </row>
    <row r="67" spans="9:13" ht="31.2" x14ac:dyDescent="0.3">
      <c r="I67" s="99"/>
      <c r="J67" s="99"/>
      <c r="K67" s="100"/>
      <c r="L67" s="78" t="s">
        <v>310</v>
      </c>
      <c r="M67" s="81"/>
    </row>
    <row r="68" spans="9:13" ht="31.2" x14ac:dyDescent="0.3">
      <c r="I68" s="99"/>
      <c r="J68" s="99" t="s">
        <v>318</v>
      </c>
      <c r="K68" s="100">
        <v>110159</v>
      </c>
      <c r="L68" s="79" t="s">
        <v>263</v>
      </c>
      <c r="M68" s="99" t="s">
        <v>322</v>
      </c>
    </row>
    <row r="69" spans="9:13" ht="31.2" x14ac:dyDescent="0.3">
      <c r="I69" s="99"/>
      <c r="J69" s="99"/>
      <c r="K69" s="100"/>
      <c r="L69" s="79" t="s">
        <v>172</v>
      </c>
      <c r="M69" s="99"/>
    </row>
    <row r="70" spans="9:13" ht="31.2" x14ac:dyDescent="0.3">
      <c r="I70" s="99"/>
      <c r="J70" s="99"/>
      <c r="K70" s="100"/>
      <c r="L70" s="79" t="s">
        <v>231</v>
      </c>
      <c r="M70" s="99"/>
    </row>
    <row r="71" spans="9:13" ht="15.6" x14ac:dyDescent="0.3">
      <c r="I71" s="99"/>
      <c r="J71" s="99"/>
      <c r="K71" s="100"/>
      <c r="L71" s="79" t="s">
        <v>306</v>
      </c>
      <c r="M71" s="99"/>
    </row>
    <row r="72" spans="9:13" ht="15.6" x14ac:dyDescent="0.3">
      <c r="I72" s="99"/>
      <c r="J72" s="99"/>
      <c r="K72" s="100"/>
      <c r="L72" s="79" t="s">
        <v>319</v>
      </c>
      <c r="M72" s="99"/>
    </row>
    <row r="73" spans="9:13" ht="15.6" x14ac:dyDescent="0.3">
      <c r="I73" s="99"/>
      <c r="J73" s="99"/>
      <c r="K73" s="100"/>
      <c r="L73" s="79" t="s">
        <v>260</v>
      </c>
      <c r="M73" s="99"/>
    </row>
    <row r="74" spans="9:13" ht="15.6" x14ac:dyDescent="0.3">
      <c r="I74" s="99"/>
      <c r="J74" s="99"/>
      <c r="K74" s="100"/>
      <c r="L74" s="81"/>
      <c r="M74" s="99"/>
    </row>
    <row r="75" spans="9:13" ht="31.2" x14ac:dyDescent="0.3">
      <c r="I75" s="99"/>
      <c r="J75" s="99"/>
      <c r="K75" s="100"/>
      <c r="L75" s="78" t="s">
        <v>320</v>
      </c>
      <c r="M75" s="99"/>
    </row>
    <row r="76" spans="9:13" ht="15.6" x14ac:dyDescent="0.3">
      <c r="I76" s="99"/>
      <c r="J76" s="99"/>
      <c r="K76" s="100"/>
      <c r="L76" s="78" t="s">
        <v>235</v>
      </c>
      <c r="M76" s="99"/>
    </row>
    <row r="77" spans="9:13" ht="31.2" x14ac:dyDescent="0.3">
      <c r="I77" s="99"/>
      <c r="J77" s="99"/>
      <c r="K77" s="100"/>
      <c r="L77" s="78" t="s">
        <v>281</v>
      </c>
      <c r="M77" s="99"/>
    </row>
    <row r="78" spans="9:13" ht="15.6" x14ac:dyDescent="0.3">
      <c r="I78" s="99"/>
      <c r="J78" s="99"/>
      <c r="K78" s="100"/>
      <c r="L78" s="78" t="s">
        <v>321</v>
      </c>
      <c r="M78" s="99"/>
    </row>
    <row r="79" spans="9:13" ht="62.4" x14ac:dyDescent="0.3">
      <c r="I79" s="99"/>
      <c r="J79" s="99" t="s">
        <v>323</v>
      </c>
      <c r="K79" s="100">
        <v>67068</v>
      </c>
      <c r="L79" s="79" t="s">
        <v>263</v>
      </c>
      <c r="M79" s="78" t="s">
        <v>329</v>
      </c>
    </row>
    <row r="80" spans="9:13" ht="31.2" x14ac:dyDescent="0.3">
      <c r="I80" s="99"/>
      <c r="J80" s="99"/>
      <c r="K80" s="100"/>
      <c r="L80" s="79" t="s">
        <v>172</v>
      </c>
      <c r="M80" s="80" t="s">
        <v>330</v>
      </c>
    </row>
    <row r="81" spans="9:13" ht="31.2" x14ac:dyDescent="0.3">
      <c r="I81" s="99"/>
      <c r="J81" s="99"/>
      <c r="K81" s="100"/>
      <c r="L81" s="79" t="s">
        <v>324</v>
      </c>
      <c r="M81" s="83" t="s">
        <v>331</v>
      </c>
    </row>
    <row r="82" spans="9:13" ht="15.6" x14ac:dyDescent="0.3">
      <c r="I82" s="99"/>
      <c r="J82" s="99"/>
      <c r="K82" s="100"/>
      <c r="L82" s="79" t="s">
        <v>319</v>
      </c>
      <c r="M82" s="80" t="s">
        <v>332</v>
      </c>
    </row>
    <row r="83" spans="9:13" ht="15.6" x14ac:dyDescent="0.3">
      <c r="I83" s="99"/>
      <c r="J83" s="99"/>
      <c r="K83" s="100"/>
      <c r="L83" s="79" t="s">
        <v>305</v>
      </c>
      <c r="M83" s="80" t="s">
        <v>333</v>
      </c>
    </row>
    <row r="84" spans="9:13" ht="31.2" x14ac:dyDescent="0.3">
      <c r="I84" s="99"/>
      <c r="J84" s="99"/>
      <c r="K84" s="100"/>
      <c r="L84" s="79" t="s">
        <v>325</v>
      </c>
      <c r="M84" s="81"/>
    </row>
    <row r="85" spans="9:13" ht="15.6" x14ac:dyDescent="0.3">
      <c r="I85" s="99"/>
      <c r="J85" s="99"/>
      <c r="K85" s="100"/>
      <c r="L85" s="81"/>
      <c r="M85" s="81"/>
    </row>
    <row r="86" spans="9:13" ht="31.2" x14ac:dyDescent="0.3">
      <c r="I86" s="99"/>
      <c r="J86" s="99"/>
      <c r="K86" s="100"/>
      <c r="L86" s="78" t="s">
        <v>326</v>
      </c>
      <c r="M86" s="81"/>
    </row>
    <row r="87" spans="9:13" ht="31.2" x14ac:dyDescent="0.3">
      <c r="I87" s="99"/>
      <c r="J87" s="99"/>
      <c r="K87" s="100"/>
      <c r="L87" s="78" t="s">
        <v>281</v>
      </c>
      <c r="M87" s="81"/>
    </row>
    <row r="88" spans="9:13" ht="31.2" x14ac:dyDescent="0.3">
      <c r="I88" s="99"/>
      <c r="J88" s="99"/>
      <c r="K88" s="100"/>
      <c r="L88" s="78" t="s">
        <v>327</v>
      </c>
      <c r="M88" s="81"/>
    </row>
    <row r="89" spans="9:13" ht="31.2" x14ac:dyDescent="0.3">
      <c r="I89" s="99"/>
      <c r="J89" s="99"/>
      <c r="K89" s="100"/>
      <c r="L89" s="78" t="s">
        <v>328</v>
      </c>
      <c r="M89" s="81"/>
    </row>
    <row r="90" spans="9:13" ht="202.8" x14ac:dyDescent="0.3">
      <c r="I90" s="99" t="s">
        <v>170</v>
      </c>
      <c r="J90" s="99" t="s">
        <v>334</v>
      </c>
      <c r="K90" s="100">
        <v>10837</v>
      </c>
      <c r="L90" s="79" t="s">
        <v>263</v>
      </c>
      <c r="M90" s="78" t="s">
        <v>338</v>
      </c>
    </row>
    <row r="91" spans="9:13" ht="31.2" x14ac:dyDescent="0.3">
      <c r="I91" s="99"/>
      <c r="J91" s="99"/>
      <c r="K91" s="100"/>
      <c r="L91" s="79" t="s">
        <v>172</v>
      </c>
      <c r="M91" s="78" t="s">
        <v>339</v>
      </c>
    </row>
    <row r="92" spans="9:13" ht="31.2" x14ac:dyDescent="0.3">
      <c r="I92" s="99"/>
      <c r="J92" s="99"/>
      <c r="K92" s="100"/>
      <c r="L92" s="79" t="s">
        <v>173</v>
      </c>
      <c r="M92" s="80" t="s">
        <v>340</v>
      </c>
    </row>
    <row r="93" spans="9:13" ht="15.6" x14ac:dyDescent="0.3">
      <c r="I93" s="99"/>
      <c r="J93" s="99"/>
      <c r="K93" s="100"/>
      <c r="L93" s="79" t="s">
        <v>260</v>
      </c>
      <c r="M93" s="80" t="s">
        <v>341</v>
      </c>
    </row>
    <row r="94" spans="9:13" ht="15.6" x14ac:dyDescent="0.3">
      <c r="I94" s="99"/>
      <c r="J94" s="99"/>
      <c r="K94" s="100"/>
      <c r="L94" s="79" t="s">
        <v>319</v>
      </c>
      <c r="M94" s="80" t="s">
        <v>342</v>
      </c>
    </row>
    <row r="95" spans="9:13" ht="62.4" x14ac:dyDescent="0.3">
      <c r="I95" s="99"/>
      <c r="J95" s="99"/>
      <c r="K95" s="100"/>
      <c r="L95" s="79" t="s">
        <v>306</v>
      </c>
      <c r="M95" s="78" t="s">
        <v>343</v>
      </c>
    </row>
    <row r="96" spans="9:13" ht="15.6" x14ac:dyDescent="0.3">
      <c r="I96" s="99"/>
      <c r="J96" s="99"/>
      <c r="K96" s="100"/>
      <c r="L96" s="81"/>
      <c r="M96" s="81"/>
    </row>
    <row r="97" spans="9:13" ht="31.2" x14ac:dyDescent="0.3">
      <c r="I97" s="99"/>
      <c r="J97" s="99"/>
      <c r="K97" s="100"/>
      <c r="L97" s="78" t="s">
        <v>335</v>
      </c>
      <c r="M97" s="81"/>
    </row>
    <row r="98" spans="9:13" ht="15.6" x14ac:dyDescent="0.3">
      <c r="I98" s="99"/>
      <c r="J98" s="99"/>
      <c r="K98" s="100"/>
      <c r="L98" s="78" t="s">
        <v>235</v>
      </c>
      <c r="M98" s="81"/>
    </row>
    <row r="99" spans="9:13" ht="31.2" x14ac:dyDescent="0.3">
      <c r="I99" s="99"/>
      <c r="J99" s="99"/>
      <c r="K99" s="100"/>
      <c r="L99" s="78" t="s">
        <v>336</v>
      </c>
      <c r="M99" s="81"/>
    </row>
    <row r="100" spans="9:13" ht="31.2" x14ac:dyDescent="0.3">
      <c r="I100" s="99"/>
      <c r="J100" s="99"/>
      <c r="K100" s="100"/>
      <c r="L100" s="78" t="s">
        <v>337</v>
      </c>
      <c r="M100" s="81"/>
    </row>
    <row r="101" spans="9:13" ht="109.2" x14ac:dyDescent="0.3">
      <c r="I101" s="99"/>
      <c r="J101" s="102" t="s">
        <v>344</v>
      </c>
      <c r="K101" s="100">
        <v>23581</v>
      </c>
      <c r="L101" s="79" t="s">
        <v>263</v>
      </c>
      <c r="M101" s="78" t="s">
        <v>348</v>
      </c>
    </row>
    <row r="102" spans="9:13" ht="93.6" x14ac:dyDescent="0.3">
      <c r="I102" s="99"/>
      <c r="J102" s="102"/>
      <c r="K102" s="100"/>
      <c r="L102" s="79" t="s">
        <v>172</v>
      </c>
      <c r="M102" s="78" t="s">
        <v>349</v>
      </c>
    </row>
    <row r="103" spans="9:13" ht="31.2" x14ac:dyDescent="0.3">
      <c r="I103" s="99"/>
      <c r="J103" s="102"/>
      <c r="K103" s="100"/>
      <c r="L103" s="79" t="s">
        <v>345</v>
      </c>
      <c r="M103" s="81"/>
    </row>
    <row r="104" spans="9:13" ht="15.6" x14ac:dyDescent="0.3">
      <c r="I104" s="99"/>
      <c r="J104" s="102"/>
      <c r="K104" s="100"/>
      <c r="L104" s="79" t="s">
        <v>346</v>
      </c>
      <c r="M104" s="81"/>
    </row>
    <row r="105" spans="9:13" ht="15.6" x14ac:dyDescent="0.3">
      <c r="I105" s="99"/>
      <c r="J105" s="102"/>
      <c r="K105" s="100"/>
      <c r="L105" s="79" t="s">
        <v>347</v>
      </c>
      <c r="M105" s="81"/>
    </row>
    <row r="106" spans="9:13" ht="93.6" x14ac:dyDescent="0.3">
      <c r="I106" s="99"/>
      <c r="J106" s="102" t="s">
        <v>350</v>
      </c>
      <c r="K106" s="100">
        <v>15319</v>
      </c>
      <c r="L106" s="79" t="s">
        <v>172</v>
      </c>
      <c r="M106" s="78" t="s">
        <v>355</v>
      </c>
    </row>
    <row r="107" spans="9:13" ht="140.4" x14ac:dyDescent="0.3">
      <c r="I107" s="99"/>
      <c r="J107" s="102"/>
      <c r="K107" s="100"/>
      <c r="L107" s="79" t="s">
        <v>263</v>
      </c>
      <c r="M107" s="78" t="s">
        <v>356</v>
      </c>
    </row>
    <row r="108" spans="9:13" ht="31.2" x14ac:dyDescent="0.3">
      <c r="I108" s="99"/>
      <c r="J108" s="102"/>
      <c r="K108" s="100"/>
      <c r="L108" s="79" t="s">
        <v>346</v>
      </c>
      <c r="M108" s="78" t="s">
        <v>339</v>
      </c>
    </row>
    <row r="109" spans="9:13" ht="31.2" x14ac:dyDescent="0.3">
      <c r="I109" s="99"/>
      <c r="J109" s="102"/>
      <c r="K109" s="100"/>
      <c r="L109" s="79" t="s">
        <v>336</v>
      </c>
      <c r="M109" s="80" t="s">
        <v>342</v>
      </c>
    </row>
    <row r="110" spans="9:13" ht="15.6" x14ac:dyDescent="0.3">
      <c r="I110" s="99"/>
      <c r="J110" s="102"/>
      <c r="K110" s="100"/>
      <c r="L110" s="79" t="s">
        <v>319</v>
      </c>
      <c r="M110" s="80" t="s">
        <v>357</v>
      </c>
    </row>
    <row r="111" spans="9:13" ht="31.2" x14ac:dyDescent="0.3">
      <c r="I111" s="99"/>
      <c r="J111" s="102"/>
      <c r="K111" s="100"/>
      <c r="L111" s="81"/>
      <c r="M111" s="80" t="s">
        <v>358</v>
      </c>
    </row>
    <row r="112" spans="9:13" ht="31.2" x14ac:dyDescent="0.3">
      <c r="I112" s="99"/>
      <c r="J112" s="102"/>
      <c r="K112" s="100"/>
      <c r="L112" s="78" t="s">
        <v>351</v>
      </c>
      <c r="M112" s="81"/>
    </row>
    <row r="113" spans="9:13" ht="15.6" x14ac:dyDescent="0.3">
      <c r="I113" s="99"/>
      <c r="J113" s="102"/>
      <c r="K113" s="100"/>
      <c r="L113" s="78" t="s">
        <v>352</v>
      </c>
      <c r="M113" s="81"/>
    </row>
    <row r="114" spans="9:13" ht="15.6" x14ac:dyDescent="0.3">
      <c r="I114" s="99"/>
      <c r="J114" s="102"/>
      <c r="K114" s="100"/>
      <c r="L114" s="78" t="s">
        <v>353</v>
      </c>
      <c r="M114" s="81"/>
    </row>
    <row r="115" spans="9:13" ht="15.6" x14ac:dyDescent="0.3">
      <c r="I115" s="99"/>
      <c r="J115" s="102"/>
      <c r="K115" s="100"/>
      <c r="L115" s="78" t="s">
        <v>354</v>
      </c>
      <c r="M115" s="81"/>
    </row>
    <row r="116" spans="9:13" ht="31.2" x14ac:dyDescent="0.3">
      <c r="I116" s="99"/>
      <c r="J116" s="102" t="s">
        <v>359</v>
      </c>
      <c r="K116" s="100">
        <v>2657</v>
      </c>
      <c r="L116" s="79" t="s">
        <v>172</v>
      </c>
      <c r="M116" s="78" t="s">
        <v>362</v>
      </c>
    </row>
    <row r="117" spans="9:13" ht="46.8" x14ac:dyDescent="0.3">
      <c r="I117" s="99"/>
      <c r="J117" s="102"/>
      <c r="K117" s="100"/>
      <c r="L117" s="79" t="s">
        <v>360</v>
      </c>
      <c r="M117" s="80" t="s">
        <v>363</v>
      </c>
    </row>
    <row r="118" spans="9:13" ht="46.8" x14ac:dyDescent="0.3">
      <c r="I118" s="99"/>
      <c r="J118" s="102"/>
      <c r="K118" s="100"/>
      <c r="L118" s="79" t="s">
        <v>346</v>
      </c>
      <c r="M118" s="80" t="s">
        <v>364</v>
      </c>
    </row>
    <row r="119" spans="9:13" ht="31.2" x14ac:dyDescent="0.3">
      <c r="I119" s="99"/>
      <c r="J119" s="102"/>
      <c r="K119" s="100"/>
      <c r="L119" s="79" t="s">
        <v>306</v>
      </c>
      <c r="M119" s="80" t="s">
        <v>365</v>
      </c>
    </row>
    <row r="120" spans="9:13" ht="46.8" x14ac:dyDescent="0.3">
      <c r="I120" s="99"/>
      <c r="J120" s="102"/>
      <c r="K120" s="100"/>
      <c r="L120" s="81"/>
      <c r="M120" s="80" t="s">
        <v>366</v>
      </c>
    </row>
    <row r="121" spans="9:13" ht="62.4" x14ac:dyDescent="0.3">
      <c r="I121" s="99"/>
      <c r="J121" s="102"/>
      <c r="K121" s="100"/>
      <c r="L121" s="78" t="s">
        <v>361</v>
      </c>
      <c r="M121" s="80" t="s">
        <v>367</v>
      </c>
    </row>
    <row r="122" spans="9:13" ht="93.6" x14ac:dyDescent="0.3">
      <c r="I122" s="99"/>
      <c r="J122" s="102"/>
      <c r="K122" s="100"/>
      <c r="L122" s="78" t="s">
        <v>248</v>
      </c>
      <c r="M122" s="78" t="s">
        <v>368</v>
      </c>
    </row>
    <row r="123" spans="9:13" ht="31.2" x14ac:dyDescent="0.3">
      <c r="I123" s="99"/>
      <c r="J123" s="102"/>
      <c r="K123" s="100"/>
      <c r="L123" s="78" t="s">
        <v>336</v>
      </c>
      <c r="M123" s="81"/>
    </row>
    <row r="124" spans="9:13" ht="15.6" x14ac:dyDescent="0.3">
      <c r="I124" s="99"/>
      <c r="J124" s="102"/>
      <c r="K124" s="100"/>
      <c r="L124" s="78" t="s">
        <v>235</v>
      </c>
      <c r="M124" s="81"/>
    </row>
    <row r="125" spans="9:13" ht="265.2" x14ac:dyDescent="0.3">
      <c r="I125" s="99"/>
      <c r="J125" s="102" t="s">
        <v>369</v>
      </c>
      <c r="K125" s="100">
        <v>8110</v>
      </c>
      <c r="L125" s="79" t="s">
        <v>370</v>
      </c>
      <c r="M125" s="78" t="s">
        <v>374</v>
      </c>
    </row>
    <row r="126" spans="9:13" ht="31.2" x14ac:dyDescent="0.3">
      <c r="I126" s="99"/>
      <c r="J126" s="102"/>
      <c r="K126" s="100"/>
      <c r="L126" s="79" t="s">
        <v>306</v>
      </c>
      <c r="M126" s="78" t="s">
        <v>375</v>
      </c>
    </row>
    <row r="127" spans="9:13" ht="31.2" x14ac:dyDescent="0.3">
      <c r="I127" s="99"/>
      <c r="J127" s="102"/>
      <c r="K127" s="100"/>
      <c r="L127" s="79" t="s">
        <v>347</v>
      </c>
      <c r="M127" s="80" t="s">
        <v>376</v>
      </c>
    </row>
    <row r="128" spans="9:13" ht="62.4" x14ac:dyDescent="0.3">
      <c r="I128" s="99"/>
      <c r="J128" s="102"/>
      <c r="K128" s="100"/>
      <c r="L128" s="81"/>
      <c r="M128" s="80" t="s">
        <v>377</v>
      </c>
    </row>
    <row r="129" spans="9:13" ht="46.8" x14ac:dyDescent="0.3">
      <c r="I129" s="99"/>
      <c r="J129" s="102"/>
      <c r="K129" s="100"/>
      <c r="L129" s="78" t="s">
        <v>371</v>
      </c>
      <c r="M129" s="80" t="s">
        <v>378</v>
      </c>
    </row>
    <row r="130" spans="9:13" ht="78" x14ac:dyDescent="0.3">
      <c r="I130" s="99"/>
      <c r="J130" s="102"/>
      <c r="K130" s="100"/>
      <c r="L130" s="78" t="s">
        <v>372</v>
      </c>
      <c r="M130" s="80" t="s">
        <v>379</v>
      </c>
    </row>
    <row r="131" spans="9:13" ht="156" x14ac:dyDescent="0.3">
      <c r="I131" s="99"/>
      <c r="J131" s="102"/>
      <c r="K131" s="100"/>
      <c r="L131" s="78" t="s">
        <v>248</v>
      </c>
      <c r="M131" s="78" t="s">
        <v>380</v>
      </c>
    </row>
    <row r="132" spans="9:13" ht="31.2" x14ac:dyDescent="0.3">
      <c r="I132" s="99"/>
      <c r="J132" s="102"/>
      <c r="K132" s="100"/>
      <c r="L132" s="78" t="s">
        <v>373</v>
      </c>
      <c r="M132" s="81"/>
    </row>
    <row r="133" spans="9:13" ht="78" x14ac:dyDescent="0.3">
      <c r="I133" s="99"/>
      <c r="J133" s="102" t="s">
        <v>381</v>
      </c>
      <c r="K133" s="100">
        <v>22847</v>
      </c>
      <c r="L133" s="79" t="s">
        <v>382</v>
      </c>
      <c r="M133" s="78" t="s">
        <v>384</v>
      </c>
    </row>
    <row r="134" spans="9:13" ht="31.2" x14ac:dyDescent="0.3">
      <c r="I134" s="99"/>
      <c r="J134" s="102"/>
      <c r="K134" s="100"/>
      <c r="L134" s="79" t="s">
        <v>260</v>
      </c>
      <c r="M134" s="78" t="s">
        <v>375</v>
      </c>
    </row>
    <row r="135" spans="9:13" ht="31.2" x14ac:dyDescent="0.3">
      <c r="I135" s="99"/>
      <c r="J135" s="102"/>
      <c r="K135" s="100"/>
      <c r="L135" s="79" t="s">
        <v>305</v>
      </c>
      <c r="M135" s="80" t="s">
        <v>385</v>
      </c>
    </row>
    <row r="136" spans="9:13" ht="31.2" x14ac:dyDescent="0.3">
      <c r="I136" s="99"/>
      <c r="J136" s="102"/>
      <c r="K136" s="100"/>
      <c r="L136" s="78" t="s">
        <v>383</v>
      </c>
      <c r="M136" s="80" t="s">
        <v>386</v>
      </c>
    </row>
    <row r="137" spans="9:13" ht="62.4" x14ac:dyDescent="0.3">
      <c r="I137" s="99"/>
      <c r="J137" s="102"/>
      <c r="K137" s="100"/>
      <c r="L137" s="78" t="s">
        <v>310</v>
      </c>
      <c r="M137" s="80" t="s">
        <v>387</v>
      </c>
    </row>
    <row r="138" spans="9:13" ht="93.6" x14ac:dyDescent="0.3">
      <c r="I138" s="99"/>
      <c r="J138" s="102"/>
      <c r="K138" s="100"/>
      <c r="L138" s="78" t="s">
        <v>248</v>
      </c>
      <c r="M138" s="80" t="s">
        <v>388</v>
      </c>
    </row>
    <row r="139" spans="9:13" ht="46.8" x14ac:dyDescent="0.3">
      <c r="I139" s="99"/>
      <c r="J139" s="102"/>
      <c r="K139" s="100"/>
      <c r="L139" s="78" t="s">
        <v>281</v>
      </c>
      <c r="M139" s="78" t="s">
        <v>389</v>
      </c>
    </row>
    <row r="140" spans="9:13" ht="15.6" x14ac:dyDescent="0.3">
      <c r="I140" s="99"/>
      <c r="J140" s="102"/>
      <c r="K140" s="100"/>
      <c r="L140" s="81"/>
      <c r="M140" s="80" t="s">
        <v>390</v>
      </c>
    </row>
    <row r="141" spans="9:13" ht="15.6" x14ac:dyDescent="0.3">
      <c r="I141" s="99"/>
      <c r="J141" s="102"/>
      <c r="K141" s="100"/>
      <c r="L141" s="81"/>
      <c r="M141" s="80" t="s">
        <v>391</v>
      </c>
    </row>
    <row r="142" spans="9:13" ht="15.6" x14ac:dyDescent="0.3">
      <c r="I142" s="99"/>
      <c r="J142" s="102"/>
      <c r="K142" s="100"/>
      <c r="L142" s="81"/>
      <c r="M142" s="80" t="s">
        <v>392</v>
      </c>
    </row>
    <row r="143" spans="9:13" ht="93.6" x14ac:dyDescent="0.3">
      <c r="I143" s="99"/>
      <c r="J143" s="102" t="s">
        <v>393</v>
      </c>
      <c r="K143" s="100">
        <v>8464</v>
      </c>
      <c r="L143" s="79" t="s">
        <v>382</v>
      </c>
      <c r="M143" s="78" t="s">
        <v>395</v>
      </c>
    </row>
    <row r="144" spans="9:13" ht="31.2" x14ac:dyDescent="0.3">
      <c r="I144" s="99"/>
      <c r="J144" s="102"/>
      <c r="K144" s="100"/>
      <c r="L144" s="79" t="s">
        <v>281</v>
      </c>
      <c r="M144" s="80" t="s">
        <v>396</v>
      </c>
    </row>
    <row r="145" spans="9:13" ht="15.6" x14ac:dyDescent="0.3">
      <c r="I145" s="99"/>
      <c r="J145" s="102"/>
      <c r="K145" s="100"/>
      <c r="L145" s="79" t="s">
        <v>260</v>
      </c>
      <c r="M145" s="80" t="s">
        <v>397</v>
      </c>
    </row>
    <row r="146" spans="9:13" ht="31.2" x14ac:dyDescent="0.3">
      <c r="I146" s="99"/>
      <c r="J146" s="102"/>
      <c r="K146" s="100"/>
      <c r="L146" s="81"/>
      <c r="M146" s="80" t="s">
        <v>398</v>
      </c>
    </row>
    <row r="147" spans="9:13" ht="46.8" x14ac:dyDescent="0.3">
      <c r="I147" s="99"/>
      <c r="J147" s="102"/>
      <c r="K147" s="100"/>
      <c r="L147" s="78" t="s">
        <v>394</v>
      </c>
      <c r="M147" s="78" t="s">
        <v>399</v>
      </c>
    </row>
    <row r="148" spans="9:13" ht="31.2" x14ac:dyDescent="0.3">
      <c r="I148" s="99"/>
      <c r="J148" s="102"/>
      <c r="K148" s="100"/>
      <c r="L148" s="78" t="s">
        <v>310</v>
      </c>
      <c r="M148" s="80" t="s">
        <v>400</v>
      </c>
    </row>
    <row r="149" spans="9:13" ht="31.2" x14ac:dyDescent="0.3">
      <c r="I149" s="99"/>
      <c r="J149" s="102"/>
      <c r="K149" s="100"/>
      <c r="L149" s="78" t="s">
        <v>281</v>
      </c>
      <c r="M149" s="80" t="s">
        <v>390</v>
      </c>
    </row>
    <row r="150" spans="9:13" ht="15.6" x14ac:dyDescent="0.3">
      <c r="I150" s="99"/>
      <c r="J150" s="102"/>
      <c r="K150" s="100"/>
      <c r="L150" s="78" t="s">
        <v>235</v>
      </c>
      <c r="M150" s="80" t="s">
        <v>401</v>
      </c>
    </row>
    <row r="151" spans="9:13" ht="15.6" x14ac:dyDescent="0.3">
      <c r="I151" s="99"/>
      <c r="J151" s="102"/>
      <c r="K151" s="100"/>
      <c r="L151" s="81"/>
      <c r="M151" s="81"/>
    </row>
    <row r="152" spans="9:13" ht="93.6" x14ac:dyDescent="0.3">
      <c r="I152" s="99"/>
      <c r="J152" s="102" t="s">
        <v>402</v>
      </c>
      <c r="K152" s="100">
        <v>2433</v>
      </c>
      <c r="L152" s="79" t="s">
        <v>305</v>
      </c>
      <c r="M152" s="78" t="s">
        <v>406</v>
      </c>
    </row>
    <row r="153" spans="9:13" ht="31.2" x14ac:dyDescent="0.3">
      <c r="I153" s="99"/>
      <c r="J153" s="102"/>
      <c r="K153" s="100"/>
      <c r="L153" s="79" t="s">
        <v>382</v>
      </c>
      <c r="M153" s="80" t="s">
        <v>407</v>
      </c>
    </row>
    <row r="154" spans="9:13" ht="46.8" x14ac:dyDescent="0.3">
      <c r="I154" s="99"/>
      <c r="J154" s="102"/>
      <c r="K154" s="100"/>
      <c r="L154" s="79" t="s">
        <v>281</v>
      </c>
      <c r="M154" s="80" t="s">
        <v>408</v>
      </c>
    </row>
    <row r="155" spans="9:13" ht="31.2" x14ac:dyDescent="0.3">
      <c r="I155" s="99"/>
      <c r="J155" s="102"/>
      <c r="K155" s="100"/>
      <c r="L155" s="81"/>
      <c r="M155" s="80" t="s">
        <v>409</v>
      </c>
    </row>
    <row r="156" spans="9:13" ht="62.4" x14ac:dyDescent="0.3">
      <c r="I156" s="99"/>
      <c r="J156" s="102"/>
      <c r="K156" s="100"/>
      <c r="L156" s="78" t="s">
        <v>403</v>
      </c>
      <c r="M156" s="78" t="s">
        <v>410</v>
      </c>
    </row>
    <row r="157" spans="9:13" ht="31.2" x14ac:dyDescent="0.3">
      <c r="I157" s="99"/>
      <c r="J157" s="102"/>
      <c r="K157" s="100"/>
      <c r="L157" s="78" t="s">
        <v>404</v>
      </c>
      <c r="M157" s="81"/>
    </row>
    <row r="158" spans="9:13" ht="31.2" x14ac:dyDescent="0.3">
      <c r="I158" s="99"/>
      <c r="J158" s="102"/>
      <c r="K158" s="100"/>
      <c r="L158" s="78" t="s">
        <v>405</v>
      </c>
      <c r="M158" s="81"/>
    </row>
    <row r="159" spans="9:13" ht="31.2" x14ac:dyDescent="0.3">
      <c r="I159" s="99"/>
      <c r="J159" s="102"/>
      <c r="K159" s="100"/>
      <c r="L159" s="78" t="s">
        <v>248</v>
      </c>
      <c r="M159" s="81"/>
    </row>
    <row r="160" spans="9:13" ht="78" x14ac:dyDescent="0.3">
      <c r="I160" s="99" t="s">
        <v>202</v>
      </c>
      <c r="J160" s="102" t="s">
        <v>411</v>
      </c>
      <c r="K160" s="100">
        <v>1382</v>
      </c>
      <c r="L160" s="79" t="s">
        <v>264</v>
      </c>
      <c r="M160" s="78" t="s">
        <v>414</v>
      </c>
    </row>
    <row r="161" spans="9:13" ht="46.8" x14ac:dyDescent="0.3">
      <c r="I161" s="99"/>
      <c r="J161" s="102"/>
      <c r="K161" s="100"/>
      <c r="L161" s="79" t="s">
        <v>265</v>
      </c>
      <c r="M161" s="80" t="s">
        <v>415</v>
      </c>
    </row>
    <row r="162" spans="9:13" ht="46.8" x14ac:dyDescent="0.3">
      <c r="I162" s="99"/>
      <c r="J162" s="102"/>
      <c r="K162" s="100"/>
      <c r="L162" s="79" t="s">
        <v>325</v>
      </c>
      <c r="M162" s="80" t="s">
        <v>416</v>
      </c>
    </row>
    <row r="163" spans="9:13" ht="46.8" x14ac:dyDescent="0.3">
      <c r="I163" s="99"/>
      <c r="J163" s="102"/>
      <c r="K163" s="100"/>
      <c r="L163" s="79" t="s">
        <v>412</v>
      </c>
      <c r="M163" s="80" t="s">
        <v>417</v>
      </c>
    </row>
    <row r="164" spans="9:13" ht="46.8" x14ac:dyDescent="0.3">
      <c r="I164" s="99"/>
      <c r="J164" s="102"/>
      <c r="K164" s="100"/>
      <c r="L164" s="81"/>
      <c r="M164" s="80" t="s">
        <v>418</v>
      </c>
    </row>
    <row r="165" spans="9:13" ht="124.8" x14ac:dyDescent="0.3">
      <c r="I165" s="99"/>
      <c r="J165" s="102"/>
      <c r="K165" s="100"/>
      <c r="L165" s="78" t="s">
        <v>413</v>
      </c>
      <c r="M165" s="80" t="s">
        <v>419</v>
      </c>
    </row>
    <row r="166" spans="9:13" ht="62.4" x14ac:dyDescent="0.3">
      <c r="I166" s="99"/>
      <c r="J166" s="102"/>
      <c r="K166" s="100"/>
      <c r="L166" s="81"/>
      <c r="M166" s="80" t="s">
        <v>420</v>
      </c>
    </row>
    <row r="167" spans="9:13" ht="31.2" x14ac:dyDescent="0.3">
      <c r="I167" s="99"/>
      <c r="J167" s="102"/>
      <c r="K167" s="100"/>
      <c r="L167" s="81"/>
      <c r="M167" s="80" t="s">
        <v>421</v>
      </c>
    </row>
    <row r="168" spans="9:13" ht="46.8" x14ac:dyDescent="0.3">
      <c r="I168" s="99"/>
      <c r="J168" s="102"/>
      <c r="K168" s="100"/>
      <c r="L168" s="81"/>
      <c r="M168" s="80" t="s">
        <v>422</v>
      </c>
    </row>
    <row r="169" spans="9:13" ht="46.8" x14ac:dyDescent="0.3">
      <c r="I169" s="99"/>
      <c r="J169" s="102"/>
      <c r="K169" s="100"/>
      <c r="L169" s="81"/>
      <c r="M169" s="80" t="s">
        <v>423</v>
      </c>
    </row>
    <row r="170" spans="9:13" ht="46.8" x14ac:dyDescent="0.3">
      <c r="I170" s="99"/>
      <c r="J170" s="102"/>
      <c r="K170" s="100"/>
      <c r="L170" s="81"/>
      <c r="M170" s="80" t="s">
        <v>424</v>
      </c>
    </row>
    <row r="171" spans="9:13" ht="78" x14ac:dyDescent="0.3">
      <c r="I171" s="99" t="s">
        <v>205</v>
      </c>
      <c r="J171" s="102" t="s">
        <v>425</v>
      </c>
      <c r="K171" s="100">
        <v>2709</v>
      </c>
      <c r="L171" s="79" t="s">
        <v>426</v>
      </c>
      <c r="M171" s="78" t="s">
        <v>431</v>
      </c>
    </row>
    <row r="172" spans="9:13" ht="46.8" x14ac:dyDescent="0.3">
      <c r="I172" s="99"/>
      <c r="J172" s="102"/>
      <c r="K172" s="100"/>
      <c r="L172" s="79" t="s">
        <v>264</v>
      </c>
      <c r="M172" s="80" t="s">
        <v>271</v>
      </c>
    </row>
    <row r="173" spans="9:13" ht="31.2" x14ac:dyDescent="0.3">
      <c r="I173" s="99"/>
      <c r="J173" s="102"/>
      <c r="K173" s="100"/>
      <c r="L173" s="78" t="s">
        <v>265</v>
      </c>
      <c r="M173" s="80" t="s">
        <v>272</v>
      </c>
    </row>
    <row r="174" spans="9:13" ht="31.2" x14ac:dyDescent="0.3">
      <c r="I174" s="99"/>
      <c r="J174" s="102"/>
      <c r="K174" s="100"/>
      <c r="L174" s="79" t="s">
        <v>427</v>
      </c>
      <c r="M174" s="80" t="s">
        <v>432</v>
      </c>
    </row>
    <row r="175" spans="9:13" ht="15.6" x14ac:dyDescent="0.3">
      <c r="I175" s="99"/>
      <c r="J175" s="102"/>
      <c r="K175" s="100"/>
      <c r="L175" s="81"/>
      <c r="M175" s="80" t="s">
        <v>433</v>
      </c>
    </row>
    <row r="176" spans="9:13" ht="31.2" x14ac:dyDescent="0.3">
      <c r="I176" s="99"/>
      <c r="J176" s="102"/>
      <c r="K176" s="100"/>
      <c r="L176" s="78" t="s">
        <v>428</v>
      </c>
      <c r="M176" s="81"/>
    </row>
    <row r="177" spans="9:13" ht="31.2" x14ac:dyDescent="0.3">
      <c r="I177" s="99"/>
      <c r="J177" s="102"/>
      <c r="K177" s="100"/>
      <c r="L177" s="78" t="s">
        <v>429</v>
      </c>
      <c r="M177" s="81"/>
    </row>
    <row r="178" spans="9:13" ht="31.2" x14ac:dyDescent="0.3">
      <c r="I178" s="99"/>
      <c r="J178" s="102"/>
      <c r="K178" s="100"/>
      <c r="L178" s="78" t="s">
        <v>281</v>
      </c>
      <c r="M178" s="81"/>
    </row>
    <row r="179" spans="9:13" ht="31.2" x14ac:dyDescent="0.3">
      <c r="I179" s="99"/>
      <c r="J179" s="102"/>
      <c r="K179" s="100"/>
      <c r="L179" s="78" t="s">
        <v>430</v>
      </c>
      <c r="M179" s="81"/>
    </row>
    <row r="180" spans="9:13" ht="171.6" x14ac:dyDescent="0.3">
      <c r="I180" s="99"/>
      <c r="J180" s="82" t="s">
        <v>434</v>
      </c>
      <c r="K180" s="100">
        <v>1704</v>
      </c>
      <c r="L180" s="79" t="s">
        <v>260</v>
      </c>
      <c r="M180" s="78" t="s">
        <v>440</v>
      </c>
    </row>
    <row r="181" spans="9:13" ht="46.8" x14ac:dyDescent="0.3">
      <c r="I181" s="99"/>
      <c r="J181" s="79" t="s">
        <v>435</v>
      </c>
      <c r="K181" s="100"/>
      <c r="L181" s="79" t="s">
        <v>436</v>
      </c>
      <c r="M181" s="78" t="s">
        <v>441</v>
      </c>
    </row>
    <row r="182" spans="9:13" ht="15.6" x14ac:dyDescent="0.3">
      <c r="I182" s="99"/>
      <c r="J182" s="81"/>
      <c r="K182" s="100"/>
      <c r="L182" s="79" t="s">
        <v>264</v>
      </c>
      <c r="M182" s="81"/>
    </row>
    <row r="183" spans="9:13" ht="15.6" x14ac:dyDescent="0.3">
      <c r="I183" s="99"/>
      <c r="J183" s="81"/>
      <c r="K183" s="100"/>
      <c r="L183" s="79" t="s">
        <v>437</v>
      </c>
      <c r="M183" s="81"/>
    </row>
    <row r="184" spans="9:13" ht="15.6" x14ac:dyDescent="0.3">
      <c r="I184" s="99"/>
      <c r="J184" s="81"/>
      <c r="K184" s="100"/>
      <c r="L184" s="81"/>
      <c r="M184" s="81"/>
    </row>
    <row r="185" spans="9:13" ht="31.2" x14ac:dyDescent="0.3">
      <c r="I185" s="99"/>
      <c r="J185" s="81"/>
      <c r="K185" s="100"/>
      <c r="L185" s="78" t="s">
        <v>438</v>
      </c>
      <c r="M185" s="81"/>
    </row>
    <row r="186" spans="9:13" ht="31.2" x14ac:dyDescent="0.3">
      <c r="I186" s="99"/>
      <c r="J186" s="81"/>
      <c r="K186" s="100"/>
      <c r="L186" s="78" t="s">
        <v>404</v>
      </c>
      <c r="M186" s="81"/>
    </row>
    <row r="187" spans="9:13" ht="31.2" x14ac:dyDescent="0.3">
      <c r="I187" s="99"/>
      <c r="J187" s="81"/>
      <c r="K187" s="100"/>
      <c r="L187" s="78" t="s">
        <v>439</v>
      </c>
      <c r="M187" s="81"/>
    </row>
    <row r="188" spans="9:13" ht="31.2" x14ac:dyDescent="0.3">
      <c r="I188" s="99"/>
      <c r="J188" s="81"/>
      <c r="K188" s="100"/>
      <c r="L188" s="78" t="s">
        <v>430</v>
      </c>
      <c r="M188" s="81"/>
    </row>
    <row r="189" spans="9:13" ht="115.2" customHeight="1" x14ac:dyDescent="0.3">
      <c r="I189" s="99"/>
      <c r="J189" s="102" t="s">
        <v>442</v>
      </c>
      <c r="K189" s="100">
        <v>26657</v>
      </c>
      <c r="L189" s="79" t="s">
        <v>443</v>
      </c>
      <c r="M189" s="99" t="s">
        <v>449</v>
      </c>
    </row>
    <row r="190" spans="9:13" ht="15.6" x14ac:dyDescent="0.3">
      <c r="I190" s="99"/>
      <c r="J190" s="102"/>
      <c r="K190" s="100"/>
      <c r="L190" s="79" t="s">
        <v>444</v>
      </c>
      <c r="M190" s="99"/>
    </row>
    <row r="191" spans="9:13" ht="31.2" x14ac:dyDescent="0.3">
      <c r="I191" s="99"/>
      <c r="J191" s="102"/>
      <c r="K191" s="100"/>
      <c r="L191" s="79" t="s">
        <v>445</v>
      </c>
      <c r="M191" s="99"/>
    </row>
    <row r="192" spans="9:13" ht="15.6" x14ac:dyDescent="0.3">
      <c r="I192" s="99"/>
      <c r="J192" s="102"/>
      <c r="K192" s="100"/>
      <c r="L192" s="81"/>
      <c r="M192" s="99"/>
    </row>
    <row r="193" spans="9:13" ht="31.2" x14ac:dyDescent="0.3">
      <c r="I193" s="99"/>
      <c r="J193" s="102"/>
      <c r="K193" s="100"/>
      <c r="L193" s="78" t="s">
        <v>446</v>
      </c>
      <c r="M193" s="99"/>
    </row>
    <row r="194" spans="9:13" ht="31.2" x14ac:dyDescent="0.3">
      <c r="I194" s="99"/>
      <c r="J194" s="102"/>
      <c r="K194" s="100"/>
      <c r="L194" s="78" t="s">
        <v>297</v>
      </c>
      <c r="M194" s="99"/>
    </row>
    <row r="195" spans="9:13" ht="15.6" x14ac:dyDescent="0.3">
      <c r="I195" s="99"/>
      <c r="J195" s="102"/>
      <c r="K195" s="100"/>
      <c r="L195" s="78" t="s">
        <v>447</v>
      </c>
      <c r="M195" s="99"/>
    </row>
    <row r="196" spans="9:13" ht="31.2" x14ac:dyDescent="0.3">
      <c r="I196" s="99"/>
      <c r="J196" s="102"/>
      <c r="K196" s="100"/>
      <c r="L196" s="78" t="s">
        <v>448</v>
      </c>
      <c r="M196" s="99"/>
    </row>
    <row r="197" spans="9:13" ht="93.6" x14ac:dyDescent="0.3">
      <c r="I197" s="99"/>
      <c r="J197" s="102" t="s">
        <v>450</v>
      </c>
      <c r="K197" s="100">
        <v>13411</v>
      </c>
      <c r="L197" s="79" t="s">
        <v>305</v>
      </c>
      <c r="M197" s="78" t="s">
        <v>454</v>
      </c>
    </row>
    <row r="198" spans="9:13" ht="31.2" x14ac:dyDescent="0.3">
      <c r="I198" s="99"/>
      <c r="J198" s="102"/>
      <c r="K198" s="100"/>
      <c r="L198" s="79" t="s">
        <v>260</v>
      </c>
      <c r="M198" s="78" t="s">
        <v>455</v>
      </c>
    </row>
    <row r="199" spans="9:13" ht="31.2" x14ac:dyDescent="0.3">
      <c r="I199" s="99"/>
      <c r="J199" s="102"/>
      <c r="K199" s="100"/>
      <c r="L199" s="79" t="s">
        <v>451</v>
      </c>
      <c r="M199" s="80" t="s">
        <v>250</v>
      </c>
    </row>
    <row r="200" spans="9:13" ht="15.6" x14ac:dyDescent="0.3">
      <c r="I200" s="99"/>
      <c r="J200" s="102"/>
      <c r="K200" s="100"/>
      <c r="L200" s="79" t="s">
        <v>264</v>
      </c>
      <c r="M200" s="80" t="s">
        <v>251</v>
      </c>
    </row>
    <row r="201" spans="9:13" ht="15.6" x14ac:dyDescent="0.3">
      <c r="I201" s="99"/>
      <c r="J201" s="102"/>
      <c r="K201" s="100"/>
      <c r="L201" s="81"/>
      <c r="M201" s="80" t="s">
        <v>252</v>
      </c>
    </row>
    <row r="202" spans="9:13" ht="31.2" x14ac:dyDescent="0.3">
      <c r="I202" s="99"/>
      <c r="J202" s="102"/>
      <c r="K202" s="100"/>
      <c r="L202" s="78" t="s">
        <v>452</v>
      </c>
      <c r="M202" s="80" t="s">
        <v>253</v>
      </c>
    </row>
    <row r="203" spans="9:13" ht="31.2" x14ac:dyDescent="0.3">
      <c r="I203" s="99"/>
      <c r="J203" s="102"/>
      <c r="K203" s="100"/>
      <c r="L203" s="78" t="s">
        <v>453</v>
      </c>
      <c r="M203" s="80" t="s">
        <v>261</v>
      </c>
    </row>
    <row r="204" spans="9:13" ht="31.2" x14ac:dyDescent="0.3">
      <c r="I204" s="99"/>
      <c r="J204" s="102"/>
      <c r="K204" s="100"/>
      <c r="L204" s="78" t="s">
        <v>297</v>
      </c>
      <c r="M204" s="80" t="s">
        <v>257</v>
      </c>
    </row>
    <row r="205" spans="9:13" ht="31.2" x14ac:dyDescent="0.3">
      <c r="I205" s="99"/>
      <c r="J205" s="102"/>
      <c r="K205" s="100"/>
      <c r="L205" s="78" t="s">
        <v>268</v>
      </c>
      <c r="M205" s="80" t="s">
        <v>456</v>
      </c>
    </row>
    <row r="206" spans="9:13" ht="31.2" x14ac:dyDescent="0.3">
      <c r="I206" s="99"/>
      <c r="J206" s="102" t="s">
        <v>457</v>
      </c>
      <c r="K206" s="100">
        <v>11147</v>
      </c>
      <c r="L206" s="79" t="s">
        <v>260</v>
      </c>
      <c r="M206" s="78" t="s">
        <v>462</v>
      </c>
    </row>
    <row r="207" spans="9:13" ht="15.6" x14ac:dyDescent="0.3">
      <c r="I207" s="99"/>
      <c r="J207" s="102"/>
      <c r="K207" s="100"/>
      <c r="L207" s="79" t="s">
        <v>305</v>
      </c>
      <c r="M207" s="80" t="s">
        <v>250</v>
      </c>
    </row>
    <row r="208" spans="9:13" ht="31.2" x14ac:dyDescent="0.3">
      <c r="I208" s="99"/>
      <c r="J208" s="102"/>
      <c r="K208" s="100"/>
      <c r="L208" s="79" t="s">
        <v>458</v>
      </c>
      <c r="M208" s="80" t="s">
        <v>251</v>
      </c>
    </row>
    <row r="209" spans="9:13" ht="15.6" x14ac:dyDescent="0.3">
      <c r="I209" s="99"/>
      <c r="J209" s="102"/>
      <c r="K209" s="100"/>
      <c r="L209" s="81"/>
      <c r="M209" s="80" t="s">
        <v>463</v>
      </c>
    </row>
    <row r="210" spans="9:13" ht="31.2" x14ac:dyDescent="0.3">
      <c r="I210" s="99"/>
      <c r="J210" s="102"/>
      <c r="K210" s="100"/>
      <c r="L210" s="78" t="s">
        <v>459</v>
      </c>
      <c r="M210" s="80" t="s">
        <v>464</v>
      </c>
    </row>
    <row r="211" spans="9:13" ht="31.2" x14ac:dyDescent="0.3">
      <c r="I211" s="99"/>
      <c r="J211" s="102"/>
      <c r="K211" s="100"/>
      <c r="L211" s="78" t="s">
        <v>460</v>
      </c>
      <c r="M211" s="80" t="s">
        <v>257</v>
      </c>
    </row>
    <row r="212" spans="9:13" ht="31.2" x14ac:dyDescent="0.3">
      <c r="I212" s="99"/>
      <c r="J212" s="102"/>
      <c r="K212" s="100"/>
      <c r="L212" s="78" t="s">
        <v>268</v>
      </c>
      <c r="M212" s="80" t="s">
        <v>465</v>
      </c>
    </row>
    <row r="213" spans="9:13" ht="31.2" x14ac:dyDescent="0.3">
      <c r="I213" s="99"/>
      <c r="J213" s="102"/>
      <c r="K213" s="100"/>
      <c r="L213" s="78" t="s">
        <v>461</v>
      </c>
      <c r="M213" s="80" t="s">
        <v>466</v>
      </c>
    </row>
    <row r="214" spans="9:13" ht="202.8" x14ac:dyDescent="0.3">
      <c r="I214" s="99"/>
      <c r="J214" s="102" t="s">
        <v>467</v>
      </c>
      <c r="K214" s="100">
        <v>5504</v>
      </c>
      <c r="L214" s="79" t="s">
        <v>360</v>
      </c>
      <c r="M214" s="78" t="s">
        <v>470</v>
      </c>
    </row>
    <row r="215" spans="9:13" ht="46.8" x14ac:dyDescent="0.3">
      <c r="I215" s="99"/>
      <c r="J215" s="102"/>
      <c r="K215" s="100"/>
      <c r="L215" s="79" t="s">
        <v>325</v>
      </c>
      <c r="M215" s="78" t="s">
        <v>471</v>
      </c>
    </row>
    <row r="216" spans="9:13" ht="31.2" x14ac:dyDescent="0.3">
      <c r="I216" s="99"/>
      <c r="J216" s="102"/>
      <c r="K216" s="100"/>
      <c r="L216" s="79" t="s">
        <v>305</v>
      </c>
      <c r="M216" s="80" t="s">
        <v>472</v>
      </c>
    </row>
    <row r="217" spans="9:13" ht="62.4" x14ac:dyDescent="0.3">
      <c r="I217" s="99"/>
      <c r="J217" s="102"/>
      <c r="K217" s="100"/>
      <c r="L217" s="79" t="s">
        <v>331</v>
      </c>
      <c r="M217" s="80" t="s">
        <v>473</v>
      </c>
    </row>
    <row r="218" spans="9:13" ht="31.2" x14ac:dyDescent="0.3">
      <c r="I218" s="99"/>
      <c r="J218" s="102"/>
      <c r="K218" s="100"/>
      <c r="L218" s="81"/>
      <c r="M218" s="80" t="s">
        <v>474</v>
      </c>
    </row>
    <row r="219" spans="9:13" ht="31.2" x14ac:dyDescent="0.3">
      <c r="I219" s="99"/>
      <c r="J219" s="102"/>
      <c r="K219" s="100"/>
      <c r="L219" s="78" t="s">
        <v>468</v>
      </c>
      <c r="M219" s="80" t="s">
        <v>475</v>
      </c>
    </row>
    <row r="220" spans="9:13" ht="31.2" x14ac:dyDescent="0.3">
      <c r="I220" s="99"/>
      <c r="J220" s="102"/>
      <c r="K220" s="100"/>
      <c r="L220" s="78" t="s">
        <v>248</v>
      </c>
      <c r="M220" s="80" t="s">
        <v>476</v>
      </c>
    </row>
    <row r="221" spans="9:13" ht="46.8" x14ac:dyDescent="0.3">
      <c r="I221" s="99"/>
      <c r="J221" s="102"/>
      <c r="K221" s="100"/>
      <c r="L221" s="78" t="s">
        <v>235</v>
      </c>
      <c r="M221" s="80" t="s">
        <v>477</v>
      </c>
    </row>
    <row r="222" spans="9:13" ht="31.2" x14ac:dyDescent="0.3">
      <c r="I222" s="99"/>
      <c r="J222" s="102"/>
      <c r="K222" s="100"/>
      <c r="L222" s="78" t="s">
        <v>469</v>
      </c>
      <c r="M222" s="81"/>
    </row>
    <row r="223" spans="9:13" ht="265.2" x14ac:dyDescent="0.3">
      <c r="I223" s="99"/>
      <c r="J223" s="102" t="s">
        <v>478</v>
      </c>
      <c r="K223" s="100">
        <v>24897</v>
      </c>
      <c r="L223" s="79" t="s">
        <v>346</v>
      </c>
      <c r="M223" s="78" t="s">
        <v>481</v>
      </c>
    </row>
    <row r="224" spans="9:13" ht="46.8" x14ac:dyDescent="0.3">
      <c r="I224" s="99"/>
      <c r="J224" s="102"/>
      <c r="K224" s="100"/>
      <c r="L224" s="79" t="s">
        <v>347</v>
      </c>
      <c r="M224" s="78" t="s">
        <v>482</v>
      </c>
    </row>
    <row r="225" spans="9:13" ht="15.6" x14ac:dyDescent="0.3">
      <c r="I225" s="99"/>
      <c r="J225" s="102"/>
      <c r="K225" s="100"/>
      <c r="L225" s="79" t="s">
        <v>360</v>
      </c>
      <c r="M225" s="80" t="s">
        <v>483</v>
      </c>
    </row>
    <row r="226" spans="9:13" ht="15.6" x14ac:dyDescent="0.3">
      <c r="I226" s="99"/>
      <c r="J226" s="102"/>
      <c r="K226" s="100"/>
      <c r="L226" s="81"/>
      <c r="M226" s="80" t="s">
        <v>484</v>
      </c>
    </row>
    <row r="227" spans="9:13" ht="31.2" x14ac:dyDescent="0.3">
      <c r="I227" s="99"/>
      <c r="J227" s="102"/>
      <c r="K227" s="100"/>
      <c r="L227" s="78" t="s">
        <v>479</v>
      </c>
      <c r="M227" s="81"/>
    </row>
    <row r="228" spans="9:13" ht="31.2" x14ac:dyDescent="0.3">
      <c r="I228" s="99"/>
      <c r="J228" s="102"/>
      <c r="K228" s="100"/>
      <c r="L228" s="78" t="s">
        <v>281</v>
      </c>
      <c r="M228" s="81"/>
    </row>
    <row r="229" spans="9:13" ht="31.2" x14ac:dyDescent="0.3">
      <c r="I229" s="99"/>
      <c r="J229" s="102"/>
      <c r="K229" s="100"/>
      <c r="L229" s="78" t="s">
        <v>480</v>
      </c>
      <c r="M229" s="81"/>
    </row>
    <row r="230" spans="9:13" ht="31.2" x14ac:dyDescent="0.3">
      <c r="I230" s="99"/>
      <c r="J230" s="102"/>
      <c r="K230" s="100"/>
      <c r="L230" s="78" t="s">
        <v>310</v>
      </c>
      <c r="M230" s="81"/>
    </row>
  </sheetData>
  <mergeCells count="93">
    <mergeCell ref="E3:E5"/>
    <mergeCell ref="B6:B7"/>
    <mergeCell ref="C6:C7"/>
    <mergeCell ref="E6:E7"/>
    <mergeCell ref="A28:A29"/>
    <mergeCell ref="A30:A33"/>
    <mergeCell ref="B30:B32"/>
    <mergeCell ref="C30:C32"/>
    <mergeCell ref="E30:E32"/>
    <mergeCell ref="J57:J67"/>
    <mergeCell ref="I3:I89"/>
    <mergeCell ref="A15:A27"/>
    <mergeCell ref="B15:B19"/>
    <mergeCell ref="C15:C19"/>
    <mergeCell ref="D15:D19"/>
    <mergeCell ref="B21:B25"/>
    <mergeCell ref="C21:C25"/>
    <mergeCell ref="D21:D25"/>
    <mergeCell ref="A3:A14"/>
    <mergeCell ref="B3:B5"/>
    <mergeCell ref="C3:C5"/>
    <mergeCell ref="J29:J36"/>
    <mergeCell ref="K29:K36"/>
    <mergeCell ref="J37:J47"/>
    <mergeCell ref="K37:K47"/>
    <mergeCell ref="K48:K56"/>
    <mergeCell ref="J3:J10"/>
    <mergeCell ref="K3:K10"/>
    <mergeCell ref="J11:J20"/>
    <mergeCell ref="K11:K20"/>
    <mergeCell ref="J21:J28"/>
    <mergeCell ref="K21:K28"/>
    <mergeCell ref="I90:I159"/>
    <mergeCell ref="J90:J100"/>
    <mergeCell ref="K90:K100"/>
    <mergeCell ref="J101:J105"/>
    <mergeCell ref="K101:K105"/>
    <mergeCell ref="J106:J115"/>
    <mergeCell ref="K106:K115"/>
    <mergeCell ref="J116:J124"/>
    <mergeCell ref="K116:K124"/>
    <mergeCell ref="J125:J132"/>
    <mergeCell ref="K125:K132"/>
    <mergeCell ref="J133:J142"/>
    <mergeCell ref="K133:K142"/>
    <mergeCell ref="J143:J151"/>
    <mergeCell ref="K143:K151"/>
    <mergeCell ref="J152:J159"/>
    <mergeCell ref="J68:J78"/>
    <mergeCell ref="K68:K78"/>
    <mergeCell ref="M68:M78"/>
    <mergeCell ref="J79:J89"/>
    <mergeCell ref="K79:K89"/>
    <mergeCell ref="I160:I170"/>
    <mergeCell ref="J160:J170"/>
    <mergeCell ref="K160:K170"/>
    <mergeCell ref="I171:I230"/>
    <mergeCell ref="J171:J179"/>
    <mergeCell ref="K171:K179"/>
    <mergeCell ref="K180:K188"/>
    <mergeCell ref="J189:J196"/>
    <mergeCell ref="K189:K196"/>
    <mergeCell ref="J223:J230"/>
    <mergeCell ref="J197:J205"/>
    <mergeCell ref="K197:K205"/>
    <mergeCell ref="J206:J213"/>
    <mergeCell ref="K206:K213"/>
    <mergeCell ref="J214:J222"/>
    <mergeCell ref="K214:K222"/>
    <mergeCell ref="K223:K230"/>
    <mergeCell ref="P3:P17"/>
    <mergeCell ref="Q3:Q10"/>
    <mergeCell ref="R3:R10"/>
    <mergeCell ref="M189:M196"/>
    <mergeCell ref="P26:P41"/>
    <mergeCell ref="Q26:Q32"/>
    <mergeCell ref="R26:R32"/>
    <mergeCell ref="Q33:Q37"/>
    <mergeCell ref="R33:R37"/>
    <mergeCell ref="Q38:Q41"/>
    <mergeCell ref="R38:R41"/>
    <mergeCell ref="K152:K159"/>
    <mergeCell ref="K57:K67"/>
    <mergeCell ref="T3:T10"/>
    <mergeCell ref="Q11:Q17"/>
    <mergeCell ref="R11:R17"/>
    <mergeCell ref="P18:P25"/>
    <mergeCell ref="Q18:Q22"/>
    <mergeCell ref="R18:R22"/>
    <mergeCell ref="T18:T22"/>
    <mergeCell ref="Q23:Q25"/>
    <mergeCell ref="R23:R25"/>
    <mergeCell ref="T23:T25"/>
  </mergeCells>
  <hyperlinks>
    <hyperlink ref="D3" r:id="rId1" display="https://yabs.yandex.ru/count/WmGejI_zOoVX2Lco0hKN0FFjhhxMBZs54p1xmmJqff8ZQ4KGy2uHq55iGL3kD84-dykTFTllt7d3dQ_VyNh37MxKjfqbga90IqaXaeo2aApLEkfqEfsvqxwdkOedY2Ma4TQXeoDgTSX8HWWdVaUV9Qf2FzSGUOpRIgC7bw36YnOkSWk0QaYhEGJGPucg49BL10dxTaA1RDokIe6gGL2fbHf4fOP0LEDgH9KcsKeaP90WCWeQSNIrSKH3QmTCsMHHnqF1o8BIHt0p3R2100mwZdVFjny5DA4B2DEI1N0v44yLeEL0B5M0bWDnL05Q3iGx2j1o8CuMeEL0hAC0BGTYg0AqCRoqShuc32CXQQMZm9mklGGSzVSXx3zuwIz2j7HHFcIz1oxCbak4R01n2x-ckYuS863T05yMFJvrRZzh6KCqxEZJ2RLlgUryub5eVakXUNrFRNlwjAFIwVDvIwNs2XoiJpAs66HnKWYOxyQRewH61rp8pkSR9XklvqxPx3uGS0CuW0rS_8YMhHGhi18VOLeDEmPT06y9fpi1kFHKJLacJIeHh4OSe-zwZKuJIKpxCWJB62CDbwRPHg6XPCiKyPMemGEst5LrW400NprOhHQCGMUQz57kQxnW3e3mJb5mpj7FpyBMHAEA6KFb3ZWBEsYo2kMRAs0AvWIYP2bigI2Jn92REXRCfCKwnOZf69s6CLyWrFATEXB17G2T30PaNLo_fjxoplz62ZoSVjY0A90VtFoY_I_pgkjxcLTTd_kpKd-tAOlxMWnTkP_5q9LZcd_U4sRvvprXZdTTrtNQJ7yraUBL178bYzwRGAvaqLiVfSU5pj9rlkpzfigcFFa7-Ti2-Z7jmGa0OK8bwRyuNPwR5ul5vEXtl2z96rZ7Ne6zzazcxLJgVDPxtNl9MLAoHeHaquvePgvKAfL2Qp2As34wXYMRyeSHAS1BaHLcPn7y4ujNygctbCQBPB6tWX6L1LxogfmcdmbOT0eFFaO5SXbhSBQfS4QjWe9_UrBSwAAX4rPcd98M~2?etext=2202.U2Y9sRWod5Im4pK4Ue_dyHtxsB0SXtTNFjxh2dUnDY14hfd8AVWlP9DGB5gGlMD0cHpoc3dxbHBtdmxnbHBvcQ.ffcb415baf80421c83d33fbd432c154402dd5b9e&amp;from=yandex.ru%3Bsearch%26%23x2F%3B%3Bweb%3B%3B0%3B&amp;q=%D1%88%D0%B0%D0%BC%D0%BF%D1%83%D0%BD%D1%8C+%D0%BE%D1%82+%D0%BF%D0%B5%D1%80%D1%85%D0%BE%D1%82%D0%B8&amp;baobab_event_id=mmlzede6tn" xr:uid="{BF4E9E3E-8713-4DAA-B9B6-1286759D866F}"/>
    <hyperlink ref="D5" r:id="rId2" display="http://oralb-russia.ru/" xr:uid="{48A0E7A7-7322-4787-AEB6-9BEA56B5539C}"/>
    <hyperlink ref="D6" r:id="rId3" display="http://braun-russia.ru/" xr:uid="{4503FE0D-53D0-445D-A82E-9FF61A502ECF}"/>
    <hyperlink ref="D7" r:id="rId4" display="http://ozon.ru/" xr:uid="{E96924D5-D596-4183-A7ED-57B3A0976EA8}"/>
    <hyperlink ref="E15" r:id="rId5" display="http://wikipedia.org/" xr:uid="{9D775D15-C6EC-4C88-B824-45058DE44DCD}"/>
    <hyperlink ref="E16" r:id="rId6" display="http://megapteka.ru/" xr:uid="{E878082F-437F-4C04-95BA-ED8E4B04FD29}"/>
    <hyperlink ref="E17" r:id="rId7" display="http://realty.yandex.ru/" xr:uid="{E464C86D-21FF-4CAC-BDB5-0295F7329D34}"/>
    <hyperlink ref="E18" r:id="rId8" display="http://doctorslon.ru/" xr:uid="{32188520-26D7-4084-88C4-4B98224DA071}"/>
    <hyperlink ref="D20" r:id="rId9" display="http://market.yandex.ru/" xr:uid="{D4691F76-459D-4C97-8124-B8834F08B2CD}"/>
    <hyperlink ref="D21" r:id="rId10" display="http://ozon.ru/" xr:uid="{8C2A845F-0E03-4344-98A4-634B3DC6AD88}"/>
    <hyperlink ref="E24" r:id="rId11" display="http://megapteka.ru/" xr:uid="{B26BE204-2B1D-46F0-AC12-439BDC2DFEAF}"/>
    <hyperlink ref="E25" r:id="rId12" display="http://top-advisorr.ru/" xr:uid="{046589A1-7C6F-4582-88FE-29BD8AC11F6A}"/>
    <hyperlink ref="D30" r:id="rId13" display="http://top-advisorr.ru/" xr:uid="{FCE10F0A-8841-4B07-857C-75996121D901}"/>
    <hyperlink ref="D31" r:id="rId14" display="http://ozon.ru/" xr:uid="{4B227DB2-6007-478A-95D8-9C8C245D3AE6}"/>
    <hyperlink ref="D4" r:id="rId15" display="http://ozon.ru/" xr:uid="{DF2B1098-919D-4DD1-BEF2-39CA51F4DE8C}"/>
    <hyperlink ref="J3" r:id="rId16" display="https://wordstat.yandex.ru/?region=all&amp;view=table&amp;words=%D1%88%D0%B0%D0%BC%D0%BF%D1%83%D0%BD%D1%8C%20%D0%BE%D1%82%20%D0%BF%D0%B5%D1%80%D1%85%D0%BE%D1%82%D0%B8" xr:uid="{2D89EA51-1E23-4978-9862-3DFEFBD11AA5}"/>
    <hyperlink ref="L3" r:id="rId17" display="https://yabs.yandex.ru/count/WmGejI_zOoVX2Lco0hKN0FFjhhxMBZs54p1xmmJqff8ZQ4KGy2uHq55iGL3kD84-dykTFTllt7d3dQ_VyNh37MxKjfqbga90IqaXaeo2aApLEkfqEfsvqxwdkOedY2Ma4TQXeoDgTSX8HWWdVaUV9Qf2FzSGUOpRIgC7bw36YnOkSWk0QaYhEGJGPucg49BL10dxTaA1RDokIe6gGL2fbHf4fOP0LEDgH9KcsKeaP90WCWeQSNIrSKH3QmTCsMHHnqF1o8BIHt0p3R2100mwZdVFjny5DA4B2DEI1N0v44yLeEL0B5M0bWDnL05Q3iGx2j1o8CuMeEL0hAC0BGTYg0AqCRoqShuc32CXQQMZm9mklGGSzVSXx3zuwIz2j7HHFcIz1oxCbak4R01n2x-ckYuS863T05yMFJvrRZzh6KCqxEZJ2RLlgUryub5eVakXUNrFRNlwjAFIwVDvIwNs2XoiJpAs66HnKWYOxyQRewH61rp8pkSR9XklvqxPx3uGS0CuW0rS_8YMhHGhi18VOLeDEmPT06y9fpi1kFHKJLacJIeHh4OSe-zwZKuJIKpxCWJB62CDbwRPHg6XPCiKyPMemGEst5LrW400NprOhHQCGMUQz57kQxnW3e3mJb5mpj7FpyBMHAEA6KFb3ZWBEsYo2kMRAs0AvWIYP2bigI2Jn92REXRCfCKwnOZf69s6CLyWrFATEXB17G2T30PaNLo_fjxoplz62ZoSVjY0A90VtFoY_I_pgkjxcLTTd_kpKd-tAOlxMWnTkP_5q9LZcd_U4sRvvprXZdTTrtNQJ7yraUBL178bYzwRGAvaqLiVfSU5pj9rlkpzfigcFFa7-Ti2-Z7jmGa0OK8bwRyuNPwR5ul5vEXtl2z96rZ7Ne6zzazcxLJgVDPxtNl9MLAoHeHaquvePgvKAfL2Qp2As34wXYMRyeSHAS1BaHLcPn7y4ujNygctbCQBPB6tWX6L1LxogfmcdmbOT0eFFaO5SXbhSBQfS4QjWe9_UrBSwAAX4rPcd98M~2?etext=2202.U2Y9sRWod5Im4pK4Ue_dyHtxsB0SXtTNFjxh2dUnDY14hfd8AVWlP9DGB5gGlMD0cHpoc3dxbHBtdmxnbHBvcQ.ffcb415baf80421c83d33fbd432c154402dd5b9e&amp;from=yandex.ru%3Bsearch%26%23x2F%3B%3Bweb%3B%3B0%3B&amp;q=%D1%88%D0%B0%D0%BC%D0%BF%D1%83%D0%BD%D1%8C+%D0%BE%D1%82+%D0%BF%D0%B5%D1%80%D1%85%D0%BE%D1%82%D0%B8&amp;baobab_event_id=mmlzede6tn" xr:uid="{AEECF240-7C78-48FE-86F0-1E21FA28BCE6}"/>
    <hyperlink ref="L4" r:id="rId18" display="http://ozon.ru/" xr:uid="{9A79726D-A9BC-403D-868D-9199BD19056A}"/>
    <hyperlink ref="L5" r:id="rId19" display="https://yabs.yandex.ru/count/WqiejI_zOoVX2Lc20-qP02Fli_v8sby2Pfy0rnice3UL744hWe3t0W8wzFbSxkpPVkVE6-vy_OxN6-vmQrYhI2Ua86wUenDI43n99wGWZ8fug2Ua89nF7Xedf22YzjCvZU9uL6hp09sGWd3UqdmApPzIA8-C4r8Gq-VjX4wbJYbFq0afYEZJ-RoTJlj7gSYQP4Kwub4AeWBPIhTzX0UL258I-Y5IMWhn_Ab1vR4IKOjEI44eKODuh4Stb4v8GLoHU8oiCdweGbKhaT1Fqf6CdweGzUW52mfAL2Em1Y4j6IMPS3gZJoY98192IaOpaAn7TGqX9IEa8n9MeHfAII5OgoIIZ8QCQjHK9EkC82EaEibQuuRO3fYooQAEXuAH1QMFu6OQO0C167GSJMIfRe1p5cDp89ugGCk1MAe0BGVYg0Aq78Xt5A3bG9mjGCk1M4S1MWx4K0LeOtXfvNnD-2b1vCwCG-HqQJ-cgJWMFJvrRZzh6KCqxEZJ2RLlgUryub5eVakXUNrFRNlwjAFIwVDvIwNs2XoiJpAs66HnKWYOxyRBmxCLQGuvds-ORBoUEsMp-q303U00Dd0_M3d29SKAhCH7c5R3Za4Nm5l2wKu0BZrLK-w10YTN8wQ99APz6O9bZ966IzDiez1GicMA-4hKu05RxgewG220hnwirWiEWF1EKN3EqS_FmjR44vkow509ty8Ecgn2-UOAc8AvoKEFmjPJq64cbBsEAZ7afewbOtGQnlnrcEy5GYtVgICHt07GoM10riNrQ-ejx_nlh93szSFE9U4FRWvc_zU3xlTwqFrS4Qxy_UPjozVIMB8_IsF9Cisqb1-pJ4lvCSVCfRUvt7TTrtNQJ7yraU95L_tHErtrHszzb1uNEklVVBc3bzoS9_-mAoYEVanxS09EkAnW-QzlaXDR5FijhUjCJN9YYsAl_PD3ddpi7T7CNAbKAeNMO1InOtGCJApoL-24jIkomkmC8Vn9sMEcm0essFjWH0OyI5WH8SlHPm2dzWXK0s8OO1x-XcMut6BVshwxuY6YOIgQYe1lRIwThmfA8PHsmBTy0ShyawnnJfZlgnjgGkSlHJmY5MFdpfQPqxOc-7ptHS8jEez3MlGhh8nP0ZG0~2?etext=2202.U2Y9sRWod5Im4pK4Ue_dyHtxsB0SXtTNFjxh2dUnDY14hfd8AVWlP9DGB5gGlMD0cHpoc3dxbHBtdmxnbHBvcQ.ffcb415baf80421c83d33fbd432c154402dd5b9e&amp;from=yandex.ru%3Bsearch%26%23x2F%3B%3Bweb%3B%3B0%3B&amp;q=%D1%88%D0%B0%D0%BC%D0%BF%D1%83%D0%BD%D1%8C+%D0%BE%D1%82+%D0%BF%D0%B5%D1%80%D1%85%D0%BE%D1%82%D0%B8" xr:uid="{486AC133-E44B-4054-BFCF-594A9ECCE211}"/>
    <hyperlink ref="L6" r:id="rId20" display="http://apteka.ru/" xr:uid="{36AB0A7B-6429-44B3-9094-09C836456532}"/>
    <hyperlink ref="J11" r:id="rId21" display="https://wordstat.yandex.ru/?region=all&amp;view=table&amp;words=%D1%88%D0%B0%D0%BC%D0%BF%D1%83%D0%BD%D1%8C%20%D0%BF%D1%80%D0%BE%D1%82%D0%B8%D0%B2%20%D0%BF%D0%B5%D1%80%D1%85%D0%BE%D1%82%D0%B8" xr:uid="{DC662F4C-88A9-49A8-93A9-8C64DD3418F1}"/>
    <hyperlink ref="L11" r:id="rId22" display="https://yabs.yandex.ru/count/WmGejI_zOoVX2Lco0hKN0FFjhhxMBZs54p1xmmJqff8ZQ4KGy2uHq55iGL3kD84-dykTFTllt7d3dQ_VyNh37MxKjfqbga90IqaXaeo2aApLEkfqEfsvqxwdkOedY2Ma4TQXeoDgTSX8HWWdVaUV9Qf2FzSGUOpRIgC7bw36YnOkSWk0QaYhEGJGPucg49BL10dxTaA1RDokIe6gGL2fbHf4fOP0LEDgH9KcsKeaP90WCWeQSNIrSKH3QmTCsMHHnqF1o8BIHt0p3R2100mwZdVFjny5DA4B2DEI1N0v44yLeEL0B5M0bWDnL05Q3iGx2j1o8CuMeEL0hAC0BGTYg0AqCRoqShuc32CXQQMZm9mklGGSzVSXx3zuwIz2j7HHFcIz1oxCbak4R01n2x-ckYuS863T05yMFJvrRZzh6KCqxEZJ2RLlgUryub5eVakXUNrFRNlwjAFIwVDvIwNs2XoiJpAs66HnKWYOxyQRewH61rp8pkSR9XklvqxPx3uGS0CuW0rS_8YMhHGhi18VOLeDEmPT06y9fpi1kFHKJLacJIeHh4OSe-zwZKuJIKpxCWJB62CDbwRPHg6XPCiKyPMemGEst5LrW400NprOhHQCGMUQz57kQxnW3e3mJb5mpj7FpyBMHAEA6KFb3ZWBEsYo2kMRAs0AvWIYP2bigI2Jn92REXRCfCKwnOZf69s6CLyWrFATEXB17G2T30PaNLo_fjxoplz62ZoSVjY0A90VtFoY_I_pgkjxcLTTd_kpKd-tAOlxMWnTkP_5q9LZcd_U4sRvvprXZdTTrtNQJ7yraUBL178bYzwRGAvaqLiVfSU5pj9rlkpzfigcFFa7-Ti2-Z7jmGa0OK8bwRyuNPwR5ul5vEXtl2z96rZ7Ne6zzazcxLJgVDPxtNl9MLAoHeHaquvePgvKAfL2Qp2As34wXYMRyeSHAS1BaHLcPn7y4ujNygctbCQBPB6tWX6L1LxogfmcdmbOT0eFFaO5SXbhSBQfS4QjWe9_UrBSwAAX4rPcd98M~2?etext=2202.U2Y9sRWod5Im4pK4Ue_dyHtxsB0SXtTNFjxh2dUnDY14hfd8AVWlP9DGB5gGlMD0cHpoc3dxbHBtdmxnbHBvcQ.ffcb415baf80421c83d33fbd432c154402dd5b9e&amp;from=yandex.ru%3Bsearch%26%23x2F%3B%3Bweb%3B%3B0%3B&amp;q=%D1%88%D0%B0%D0%BC%D0%BF%D1%83%D0%BD%D1%8C+%D0%BE%D1%82+%D0%BF%D0%B5%D1%80%D1%85%D0%BE%D1%82%D0%B8&amp;baobab_event_id=mmlzede6tn" xr:uid="{28118636-5D56-43CE-9643-BA04EBCDA517}"/>
    <hyperlink ref="L12" r:id="rId23" display="http://ozon.ru/" xr:uid="{8E46E825-AF71-4205-8EFE-7B3BDE65ECDD}"/>
    <hyperlink ref="L13" r:id="rId24" display="https://yabs.yandex.ru/count/WqiejI_zOoVX2Lc20-qP02Fli_v8sby2Pfy0rnice3UL744hWe3t0W8wzFbSxkpPVkVE6-vy_OxN6-vmQrYhI2Ua86wUenDI43n99wGWZ8fug2Ua89nF7Xedf22YzjCvZU9uL6hp09sGWd3UqdmApPzIA8-C4r8Gq-VjX4wbJYbFq0afYEZJ-RoTJlj7gSYQP4Kwub4AeWBPIhTzX0UL258I-Y5IMWhn_Ab1vR4IKOjEI44eKODuh4Stb4v8GLoHU8oiCdweGbKhaT1Fqf6CdweGzUW52mfAL2Em1Y4j6IMPS3gZJoY98192IaOpaAn7TGqX9IEa8n9MeHfAII5OgoIIZ8QCQjHK9EkC82EaEibQuuRO3fYooQAEXuAH1QMFu6OQO0C167GSJMIfRe1p5cDp89ugGCk1MAe0BGVYg0Aq78Xt5A3bG9mjGCk1M4S1MWx4K0LeOtXfvNnD-2b1vCwCG-HqQJ-cgJWMFJvrRZzh6KCqxEZJ2RLlgUryub5eVakXUNrFRNlwjAFIwVDvIwNs2XoiJpAs66HnKWYOxyRBmxCLQGuvds-ORBoUEsMp-q303U00Dd0_M3d29SKAhCH7c5R3Za4Nm5l2wKu0BZrLK-w10YTN8wQ99APz6O9bZ966IzDiez1GicMA-4hKu05RxgewG220hnwirWiEWF1EKN3EqS_FmjR44vkow509ty8Ecgn2-UOAc8AvoKEFmjPJq64cbBsEAZ7afewbOtGQnlnrcEy5GYtVgICHt07GoM10riNrQ-ejx_nlh93szSFE9U4FRWvc_zU3xlTwqFrS4Qxy_UPjozVIMB8_IsF9Cisqb1-pJ4lvCSVCfRUvt7TTrtNQJ7yraU95L_tHErtrHszzb1uNEklVVBc3bzoS9_-mAoYEVanxS09EkAnW-QzlaXDR5FijhUjCJN9YYsAl_PD3ddpi7T7CNAbKAeNMO1InOtGCJApoL-24jIkomkmC8Vn9sMEcm0essFjWH0OyI5WH8SlHPm2dzWXK0s8OO1x-XcMut6BVshwxuY6YOIgQYe1lRIwThmfA8PHsmBTy0ShyawnnJfZlgnjgGkSlHJmY5MFdpfQPqxOc-7ptHS8jEez3MlGhh8nP0ZG0~2?etext=2202.U2Y9sRWod5Im4pK4Ue_dyHtxsB0SXtTNFjxh2dUnDY14hfd8AVWlP9DGB5gGlMD0cHpoc3dxbHBtdmxnbHBvcQ.ffcb415baf80421c83d33fbd432c154402dd5b9e&amp;from=yandex.ru%3Bsearch%26%23x2F%3B%3Bweb%3B%3B0%3B&amp;q=%D1%88%D0%B0%D0%BC%D0%BF%D1%83%D0%BD%D1%8C+%D0%BE%D1%82+%D0%BF%D0%B5%D1%80%D1%85%D0%BE%D1%82%D0%B8" xr:uid="{76DF1DB8-851E-4D16-B4F2-DB15BFA63B13}"/>
    <hyperlink ref="L14" r:id="rId25" display="http://apteka.ru/" xr:uid="{1260D548-DFF7-4101-9468-07DEC9C0815A}"/>
    <hyperlink ref="J21" r:id="rId26" display="https://wordstat.yandex.ru/?region=all&amp;view=table&amp;words=%D1%88%D0%B0%D0%BC%D0%BF%D1%83%D0%BD%D1%8C%20%D0%B4%D0%BB%D1%8F%20%D0%BF%D0%B5%D1%80%D1%85%D0%BE%D1%82%D0%B8" xr:uid="{E43E31B6-C0D7-45DD-88C8-6F8B90D403C3}"/>
    <hyperlink ref="L21" r:id="rId27" display="https://yabs.yandex.ru/count/WmGejI_zOoVX2Lco0hKN0FFjhhxMBZs54p1xmmJqff8ZQ4KGy2uHq55iGL3kD84-dykTFTllt7d3dQ_VyNh37MxKjfqbga90IqaXaeo2aApLEkfqEfsvqxwdkOedY2Ma4TQXeoDgTSX8HWWdVaUV9Qf2FzSGUOpRIgC7bw36YnOkSWk0QaYhEGJGPucg49BL10dxTaA1RDokIe6gGL2fbHf4fOP0LEDgH9KcsKeaP90WCWeQSNIrSKH3QmTCsMHHnqF1o8BIHt0p3R2100mwZdVFjny5DA4B2DEI1N0v44yLeEL0B5M0bWDnL05Q3iGx2j1o8CuMeEL0hAC0BGTYg0AqCRoqShuc32CXQQMZm9mklGGSzVSXx3zuwIz2j7HHFcIz1oxCbak4R01n2x-ckYuS863T05yMFJvrRZzh6KCqxEZJ2RLlgUryub5eVakXUNrFRNlwjAFIwVDvIwNs2XoiJpAs66HnKWYOxyQRewH61rp8pkSR9XklvqxPx3uGS0CuW0rS_8YMhHGhi18VOLeDEmPT06y9fpi1kFHKJLacJIeHh4OSe-zwZKuJIKpxCWJB62CDbwRPHg6XPCiKyPMemGEst5LrW400NprOhHQCGMUQz57kQxnW3e3mJb5mpj7FpyBMHAEA6KFb3ZWBEsYo2kMRAs0AvWIYP2bigI2Jn92REXRCfCKwnOZf69s6CLyWrFATEXB17G2T30PaNLo_fjxoplz62ZoSVjY0A90VtFoY_I_pgkjxcLTTd_kpKd-tAOlxMWnTkP_5q9LZcd_U4sRvvprXZdTTrtNQJ7yraUBL178bYzwRGAvaqLiVfSU5pj9rlkpzfigcFFa7-Ti2-Z7jmGa0OK8bwRyuNPwR5ul5vEXtl2z96rZ7Ne6zzazcxLJgVDPxtNl9MLAoHeHaquvePgvKAfL2Qp2As34wXYMRyeSHAS1BaHLcPn7y4ujNygctbCQBPB6tWX6L1LxogfmcdmbOT0eFFaO5SXbhSBQfS4QjWe9_UrBSwAAX4rPcd98M~2?etext=2202.U2Y9sRWod5Im4pK4Ue_dyHtxsB0SXtTNFjxh2dUnDY14hfd8AVWlP9DGB5gGlMD0cHpoc3dxbHBtdmxnbHBvcQ.ffcb415baf80421c83d33fbd432c154402dd5b9e&amp;from=yandex.ru%3Bsearch%26%23x2F%3B%3Bweb%3B%3B0%3B&amp;q=%D1%88%D0%B0%D0%BC%D0%BF%D1%83%D0%BD%D1%8C+%D0%BE%D1%82+%D0%BF%D0%B5%D1%80%D1%85%D0%BE%D1%82%D0%B8&amp;baobab_event_id=mmlzede6tn" xr:uid="{D388ACAC-E501-4A93-A65B-5B73A272284D}"/>
    <hyperlink ref="L22" r:id="rId28" display="http://ozon.ru/" xr:uid="{BB274C65-AE14-411D-802D-E4D6836108C9}"/>
    <hyperlink ref="L23" r:id="rId29" display="http://apteka.ru/" xr:uid="{6860B168-74DE-4C76-B1F7-6F47F806B7BE}"/>
    <hyperlink ref="L29" r:id="rId30" display="https://yabs.yandex.ru/count/WmGejI_zOoVX2Lco0hKN0FFjhhxMBZs54p1xmmJqff8ZQ4KGy2uHq55iGL3kD84-dykTFTllt7d3dQ_VyNh37MxKjfqbga90IqaXaeo2aApLEkfqEfsvqxwdkOedY2Ma4TQXeoDgTSX8HWWdVaUV9Qf2FzSGUOpRIgC7bw36YnOkSWk0QaYhEGJGPucg49BL10dxTaA1RDokIe6gGL2fbHf4fOP0LEDgH9KcsKeaP90WCWeQSNIrSKH3QmTCsMHHnqF1o8BIHt0p3R2100mwZdVFjny5DA4B2DEI1N0v44yLeEL0B5M0bWDnL05Q3iGx2j1o8CuMeEL0hAC0BGTYg0AqCRoqShuc32CXQQMZm9mklGGSzVSXx3zuwIz2j7HHFcIz1oxCbak4R01n2x-ckYuS863T05yMFJvrRZzh6KCqxEZJ2RLlgUryub5eVakXUNrFRNlwjAFIwVDvIwNs2XoiJpAs66HnKWYOxyQRewH61rp8pkSR9XklvqxPx3uGS0CuW0rS_8YMhHGhi18VOLeDEmPT06y9fpi1kFHKJLacJIeHh4OSe-zwZKuJIKpxCWJB62CDbwRPHg6XPCiKyPMemGEst5LrW400NprOhHQCGMUQz57kQxnW3e3mJb5mpj7FpyBMHAEA6KFb3ZWBEsYo2kMRAs0AvWIYP2bigI2Jn92REXRCfCKwnOZf69s6CLyWrFATEXB17G2T30PaNLo_fjxoplz62ZoSVjY0A90VtFoY_I_pgkjxcLTTd_kpKd-tAOlxMWnTkP_5q9LZcd_U4sRvvprXZdTTrtNQJ7yraUBL178bYzwRGAvaqLiVfSU5pj9rlkpzfigcFFa7-Ti2-Z7jmGa0OK8bwRyuNPwR5ul5vEXtl2z96rZ7Ne6zzazcxLJgVDPxtNl9MLAoHeHaquvePgvKAfL2Qp2As34wXYMRyeSHAS1BaHLcPn7y4ujNygctbCQBPB6tWX6L1LxogfmcdmbOT0eFFaO5SXbhSBQfS4QjWe9_UrBSwAAX4rPcd98M~2?etext=2202.U2Y9sRWod5Im4pK4Ue_dyHtxsB0SXtTNFjxh2dUnDY14hfd8AVWlP9DGB5gGlMD0cHpoc3dxbHBtdmxnbHBvcQ.ffcb415baf80421c83d33fbd432c154402dd5b9e&amp;from=yandex.ru%3Bsearch%26%23x2F%3B%3Bweb%3B%3B0%3B&amp;q=%D1%88%D0%B0%D0%BC%D0%BF%D1%83%D0%BD%D1%8C+%D0%BE%D1%82+%D0%BF%D0%B5%D1%80%D1%85%D0%BE%D1%82%D0%B8&amp;baobab_event_id=mmlzede6tn" xr:uid="{1B0BCFFB-3FDD-473B-B5A8-7DE1387ABBD7}"/>
    <hyperlink ref="L30" r:id="rId31" display="http://market.yandex.ru/" xr:uid="{33DAE3ED-68C8-4030-9CC5-EBBD696BB547}"/>
    <hyperlink ref="L31" r:id="rId32" display="https://stolichki.ru/clubs/beauty/healthy_hair/luchshie-shampuni-ot-perkhoti" xr:uid="{A1FD4F44-18B7-47E9-9565-1F3CB1319149}"/>
    <hyperlink ref="L32" r:id="rId33" display="https://megapteka.ru/specials/luchshie-sredstva-ot-5369" xr:uid="{DB95AF3B-B844-4243-9F13-57971DF0A589}"/>
    <hyperlink ref="L34" r:id="rId34" display="https://lamoda.ru/" xr:uid="{75890350-9FDE-4AD8-9A42-FB996E6F674E}"/>
    <hyperlink ref="L37" r:id="rId35" display="http://market.yandex.ru/" xr:uid="{DF86397E-BCF8-4AD3-9440-057B53281A06}"/>
    <hyperlink ref="L38" r:id="rId36" display="https://yabs.yandex.ru/count/WmGejI_zOoVX2Lco0hKN0FFjhhxMBZs54p1xmmJqff8ZQ4KGy2uHq55iGL3kD84-dykTFTllt7d3dQ_VyNh37MxKjfqbga90IqaXaeo2aApLEkfqEfsvqxwdkOedY2Ma4TQXeoDgTSX8HWWdVaUV9Qf2FzSGUOpRIgC7bw36YnOkSWk0QaYhEGJGPucg49BL10dxTaA1RDokIe6gGL2fbHf4fOP0LEDgH9KcsKeaP90WCWeQSNIrSKH3QmTCsMHHnqF1o8BIHt0p3R2100mwZdVFjny5DA4B2DEI1N0v44yLeEL0B5M0bWDnL05Q3iGx2j1o8CuMeEL0hAC0BGTYg0AqCRoqShuc32CXQQMZm9mklGGSzVSXx3zuwIz2j7HHFcIz1oxCbak4R01n2x-ckYuS863T05yMFJvrRZzh6KCqxEZJ2RLlgUryub5eVakXUNrFRNlwjAFIwVDvIwNs2XoiJpAs66HnKWYOxyQRewH61rp8pkSR9XklvqxPx3uGS0CuW0rS_8YMhHGhi18VOLeDEmPT06y9fpi1kFHKJLacJIeHh4OSe-zwZKuJIKpxCWJB62CDbwRPHg6XPCiKyPMemGEst5LrW400NprOhHQCGMUQz57kQxnW3e3mJb5mpj7FpyBMHAEA6KFb3ZWBEsYo2kMRAs0AvWIYP2bigI2Jn92REXRCfCKwnOZf69s6CLyWrFATEXB17G2T30PaNLo_fjxoplz62ZoSVjY0A90VtFoY_I_pgkjxcLTTd_kpKd-tAOlxMWnTkP_5q9LZcd_U4sRvvprXZdTTrtNQJ7yraUBL178bYzwRGAvaqLiVfSU5pj9rlkpzfigcFFa7-Ti2-Z7jmGa0OK8bwRyuNPwR5ul5vEXtl2z96rZ7Ne6zzazcxLJgVDPxtNl9MLAoHeHaquvePgvKAfL2Qp2As34wXYMRyeSHAS1BaHLcPn7y4ujNygctbCQBPB6tWX6L1LxogfmcdmbOT0eFFaO5SXbhSBQfS4QjWe9_UrBSwAAX4rPcd98M~2?etext=2202.U2Y9sRWod5Im4pK4Ue_dyHtxsB0SXtTNFjxh2dUnDY14hfd8AVWlP9DGB5gGlMD0cHpoc3dxbHBtdmxnbHBvcQ.ffcb415baf80421c83d33fbd432c154402dd5b9e&amp;from=yandex.ru%3Bsearch%26%23x2F%3B%3Bweb%3B%3B0%3B&amp;q=%D1%88%D0%B0%D0%BC%D0%BF%D1%83%D0%BD%D1%8C+%D0%BE%D1%82+%D0%BF%D0%B5%D1%80%D1%85%D0%BE%D1%82%D0%B8&amp;baobab_event_id=mmlzede6tn" xr:uid="{1E0A237D-3956-4EB6-AF7B-A43D589206B2}"/>
    <hyperlink ref="L39" r:id="rId37" display="https://yabs.yandex.ru/count/WpiejI_zOoVX2Lb90sqP0ECkixxMCW_Hz0JCtZ01lQda2BWA0juB2EZGvtEvisVxdJlVzRNpzJjURxZ3lPzEQ6vFeqveZaUTKXjwIssU6oHiwz4D9Hwb819LAeaSAdNQF4XALYGIDa-IqH699ACZ4aP5F4TK4jOYeoAU91BE9yyH2G1OYQX5FqTBHaWoIE09WOJKVjvIQFwKGdbaa80-eTCe5CUZKfk7Ic89wIV9oEY8Y3eZwUU6qXBL2lI3P5GjijRu2JeA-g5nPFq1il53HBKgKM_ytE0f8Z6ryoW-bJgbF44_GaLBHqJK6KaaXgnAILOIITKYAXBG21isR0ZkW2cRBEgKS824gbGEq40Gg0zC33gEEant6mAP2cX25n2c2_0cK02N0_5K0LeEn585Q3aGHnMWvK2yem0j1-9i0LeEn3eAq78WXYf06yDBA-Thuap5na41369okhIVhWKobzRKeHfH_1brFg7IfoszdSvdr7xQTfrBexWpVzxFv_syfL9x1GxMDw4ovuNiCCaK83VUHYL21X0AEfzlc6oydZjbi_j0m0tW03PmlLONoHKfLc0bFiAq6dOCkW3U4avt0d3fgPgoTzoA2giHEy2awtgDJXD9JFio1CiO8msNfjb6eQ5aonJnbQZ10xRSLNM0G01V3kXQBpW0mZj5mJb7FpyBMnDLH33rEC0dMjX1arKetrm1Kp0tUUnHs3PrB1sZqp3chyDyBnWwy2LmX04Q281E1WEoBgvVKszvvt_Zp6FY3qS7vpxO9ixhVo_mwFlU2ppwFZS34VtlrQh1hrt03Uzd5t33OvgNP2_CyfBiXJdUTLtNQNFJocl7u0IoHdgVGDP8RtsK7XSwI__vyW_JwmGz-OTT2O7oOzg34t2o7RppNzyabqMbwBUqhZCroMLHANhjdnpIrFVbizxh_cehfPoN9uPoTaGpSwLIgHHQ0q78Zj4nC2DG_fyNF4yyGENA7lpls8D9ot_MZxL2eGSHm8NBX8LhW0qfwzxAkMl9rRqJOFZpnQR8DI8-LxLayPK0ylu2m_qf32DyaNyt3-eKdKjcyfWdP66BLS5zBc81HTq4rmwPjTwYEIsit5FYFG00~2?etext=2202.2vBCcGGJAJM5tnu5zO37XoU6uJOJNwyCPKCsnO3kIg71huu7JcVskNp3k8QjEJJD_kXwhi8-oYTzyRYNoK1Pb2lwdWVma3l5cHl1ZGdoZWY.1fbf81fb3be7bb640dd20038fd7ac2d38dfce2ea&amp;from=yandex.ru%3Bsearch%26%23x2F%3B%3Bweb%3B%3B0%3B&amp;q=%D1%88%D0%B0%D0%BC%D0%BF%D1%83%D0%BD%D1%8C+%D0%B4%D0%BB%D1%8F+%D0%B6%D0%B8%D1%80%D0%BD%D1%8B%D1%85+%D0%B2%D0%BE%D0%BB%D0%BE%D1%81" xr:uid="{360B5971-D8F2-4F70-8100-AE4F99745B64}"/>
    <hyperlink ref="L40" r:id="rId38" display="http://ozon.ru/" xr:uid="{EC4BFAC1-0EF0-46F6-A01D-AE5256DF88E3}"/>
    <hyperlink ref="L41" r:id="rId39" display="https://yabs.yandex.ru/count/WmGejI_zOoVX2Lco0hKN0FFjhhxMBZs54p1xmmJqff8ZQ4KGy2uHq55iGL3kD84-dykTFTllt7d3dQ_VyNh37MxKjfqbga90IqaXaeo2aApLEkfqEfsvqxwdkOedY2Ma4TQXeoDgTSX8HWWdVaUV9Qf2FzSGUOpRIgC7bw36YnOkSWk0QaYhEGJGPucg49BL10dxTaA1RDokIe6gGL2fbHf4fOP0LEDgH9KcsKeaP90WCWeQSNIrSKH3QmTCsMHHnqF1o8BIHt0p3R2100mwZdVFjny5DA4B2DEI1N0v44yLeEL0B5M0bWDnL05Q3iGx2j1o8CuMeEL0hAC0BGTYg0AqCRoqShuc32CXQQMZm9mklGGSzVSXx3zuwIz2j7HHFcIz1oxCbak4R01n2x-ckYuS863T05yMFJvrRZzh6KCqxEZJ2RLlgUryub5eVakXUNrFRNlwjAFIwVDvIwNs2XoiJpAs66HnKWYOxyQRewH61rp8pkSR9XklvqxPx3uGS0CuW0rS_8YMhHGhi18VOLeDEmPT06y9fpi1kFHKJLacJIeHh4OSe-zwZKuJIKpxCWJB62CDbwRPHg6XPCiKyPMemGEst5LrW400NprOhHQCGMUQz57kQxnW3e3mJb5mpj7FpyBMHAEA6KFb3ZWBEsYo2kMRAs0AvWIYP2bigI2Jn92REXRCfCKwnOZf69s6CLyWrFATEXB17G2T30PaNLo_fjxoplz62ZoSVjY0A90VtFoY_I_pgkjxcLTTd_kpKd-tAOlxMWnTkP_5q9LZcd_U4sRvvprXZdTTrtNQJ7yraUBL178bYzwRGAvaqLiVfSU5pj9rlkpzfigcFFa7-Ti2-Z7jmGa0OK8bwRyuNPwR5ul5vEXtl2z96rZ7Ne6zzazcxLJgVDPxtNl9MLAoHeHaquvePgvKAfL2Qp2As34wXYMRyeSHAS1BaHLcPn7y4ujNygctbCQBPB6tWX6L1LxogfmcdmbOT0eFFaO5SXbhSBQfS4QjWe9_UrBSwAAX4rPcd98M~2?etext=2202.U2Y9sRWod5Im4pK4Ue_dyHtxsB0SXtTNFjxh2dUnDY14hfd8AVWlP9DGB5gGlMD0cHpoc3dxbHBtdmxnbHBvcQ.ffcb415baf80421c83d33fbd432c154402dd5b9e&amp;from=yandex.ru%3Bsearch%26%23x2F%3B%3Bweb%3B%3B0%3B&amp;q=%D1%88%D0%B0%D0%BC%D0%BF%D1%83%D0%BD%D1%8C+%D0%BE%D1%82+%D0%BF%D0%B5%D1%80%D1%85%D0%BE%D1%82%D0%B8&amp;baobab_event_id=mmlzede6tn" xr:uid="{9DD48657-0AFB-429C-8537-0C9D98770023}"/>
    <hyperlink ref="L42" r:id="rId40" display="http://apteka.ru/" xr:uid="{35DCABC8-6A97-41CA-874E-8194B6E7DC7D}"/>
    <hyperlink ref="J49" r:id="rId41" display="https://wordstat.yandex.ru/?region=all&amp;view=table&amp;words=%D0%BA%D0%B0%D0%BA%D0%B8%D0%B5%20%D1%88%D0%B0%D0%BC%D0%BF%D1%83%D0%BD%D0%B8%20%D0%B4%D0%BB%D1%8F%20%D1%81%D1%83%D1%85%D0%B8%D1%85%20%D0%B2%D0%BE%D0%BB%D0%BE%D1%81" xr:uid="{B4170C1B-4A0F-45A0-9473-2F6CB1E63168}"/>
    <hyperlink ref="L48" r:id="rId42" display="https://yabs.yandex.ru/count/WmGejI_zOoVX2Lco0hKN0FFjhhxMBZs54p1xmmJqff8ZQ4KGy2uHq55iGL3kD84-dykTFTllt7d3dQ_VyNh37MxKjfqbga90IqaXaeo2aApLEkfqEfsvqxwdkOedY2Ma4TQXeoDgTSX8HWWdVaUV9Qf2FzSGUOpRIgC7bw36YnOkSWk0QaYhEGJGPucg49BL10dxTaA1RDokIe6gGL2fbHf4fOP0LEDgH9KcsKeaP90WCWeQSNIrSKH3QmTCsMHHnqF1o8BIHt0p3R2100mwZdVFjny5DA4B2DEI1N0v44yLeEL0B5M0bWDnL05Q3iGx2j1o8CuMeEL0hAC0BGTYg0AqCRoqShuc32CXQQMZm9mklGGSzVSXx3zuwIz2j7HHFcIz1oxCbak4R01n2x-ckYuS863T05yMFJvrRZzh6KCqxEZJ2RLlgUryub5eVakXUNrFRNlwjAFIwVDvIwNs2XoiJpAs66HnKWYOxyQRewH61rp8pkSR9XklvqxPx3uGS0CuW0rS_8YMhHGhi18VOLeDEmPT06y9fpi1kFHKJLacJIeHh4OSe-zwZKuJIKpxCWJB62CDbwRPHg6XPCiKyPMemGEst5LrW400NprOhHQCGMUQz57kQxnW3e3mJb5mpj7FpyBMHAEA6KFb3ZWBEsYo2kMRAs0AvWIYP2bigI2Jn92REXRCfCKwnOZf69s6CLyWrFATEXB17G2T30PaNLo_fjxoplz62ZoSVjY0A90VtFoY_I_pgkjxcLTTd_kpKd-tAOlxMWnTkP_5q9LZcd_U4sRvvprXZdTTrtNQJ7yraUBL178bYzwRGAvaqLiVfSU5pj9rlkpzfigcFFa7-Ti2-Z7jmGa0OK8bwRyuNPwR5ul5vEXtl2z96rZ7Ne6zzazcxLJgVDPxtNl9MLAoHeHaquvePgvKAfL2Qp2As34wXYMRyeSHAS1BaHLcPn7y4ujNygctbCQBPB6tWX6L1LxogfmcdmbOT0eFFaO5SXbhSBQfS4QjWe9_UrBSwAAX4rPcd98M~2?etext=2202.U2Y9sRWod5Im4pK4Ue_dyHtxsB0SXtTNFjxh2dUnDY14hfd8AVWlP9DGB5gGlMD0cHpoc3dxbHBtdmxnbHBvcQ.ffcb415baf80421c83d33fbd432c154402dd5b9e&amp;from=yandex.ru%3Bsearch%26%23x2F%3B%3Bweb%3B%3B0%3B&amp;q=%D1%88%D0%B0%D0%BC%D0%BF%D1%83%D0%BD%D1%8C+%D0%BE%D1%82+%D0%BF%D0%B5%D1%80%D1%85%D0%BE%D1%82%D0%B8&amp;baobab_event_id=mmlzede6tn" xr:uid="{A017C7B4-5A48-4878-8B59-CABDBCD2E4FD}"/>
    <hyperlink ref="L49" r:id="rId43" display="https://yabs.yandex.ru/count/WmGejI_zOoVX2Lco0hKN0FFjhhxMBZs54p1xmmJqff8ZQ4KGy2uHq55iGL3kD84-dykTFTllt7d3dQ_VyNh37MxKjfqbga90IqaXaeo2aApLEkfqEfsvqxwdkOedY2Ma4TQXeoDgTSX8HWWdVaUV9Qf2FzSGUOpRIgC7bw36YnOkSWk0QaYhEGJGPucg49BL10dxTaA1RDokIe6gGL2fbHf4fOP0LEDgH9KcsKeaP90WCWeQSNIrSKH3QmTCsMHHnqF1o8BIHt0p3R2100mwZdVFjny5DA4B2DEI1N0v44yLeEL0B5M0bWDnL05Q3iGx2j1o8CuMeEL0hAC0BGTYg0AqCRoqShuc32CXQQMZm9mklGGSzVSXx3zuwIz2j7HHFcIz1oxCbak4R01n2x-ckYuS863T05yMFJvrRZzh6KCqxEZJ2RLlgUryub5eVakXUNrFRNlwjAFIwVDvIwNs2XoiJpAs66HnKWYOxyQRewH61rp8pkSR9XklvqxPx3uGS0CuW0rS_8YMhHGhi18VOLeDEmPT06y9fpi1kFHKJLacJIeHh4OSe-zwZKuJIKpxCWJB62CDbwRPHg6XPCiKyPMemGEst5LrW400NprOhHQCGMUQz57kQxnW3e3mJb5mpj7FpyBMHAEA6KFb3ZWBEsYo2kMRAs0AvWIYP2bigI2Jn92REXRCfCKwnOZf69s6CLyWrFATEXB17G2T30PaNLo_fjxoplz62ZoSVjY0A90VtFoY_I_pgkjxcLTTd_kpKd-tAOlxMWnTkP_5q9LZcd_U4sRvvprXZdTTrtNQJ7yraUBL178bYzwRGAvaqLiVfSU5pj9rlkpzfigcFFa7-Ti2-Z7jmGa0OK8bwRyuNPwR5ul5vEXtl2z96rZ7Ne6zzazcxLJgVDPxtNl9MLAoHeHaquvePgvKAfL2Qp2As34wXYMRyeSHAS1BaHLcPn7y4ujNygctbCQBPB6tWX6L1LxogfmcdmbOT0eFFaO5SXbhSBQfS4QjWe9_UrBSwAAX4rPcd98M~2?etext=2202.U2Y9sRWod5Im4pK4Ue_dyHtxsB0SXtTNFjxh2dUnDY14hfd8AVWlP9DGB5gGlMD0cHpoc3dxbHBtdmxnbHBvcQ.ffcb415baf80421c83d33fbd432c154402dd5b9e&amp;from=yandex.ru%3Bsearch%26%23x2F%3B%3Bweb%3B%3B0%3B&amp;q=%D1%88%D0%B0%D0%BC%D0%BF%D1%83%D0%BD%D1%8C+%D0%BE%D1%82+%D0%BF%D0%B5%D1%80%D1%85%D0%BE%D1%82%D0%B8&amp;baobab_event_id=mmlzede6tn" xr:uid="{41C94BB3-E95D-4823-9D7A-7661D3FF8F1A}"/>
    <hyperlink ref="L50" r:id="rId44" display="https://www.kp.ru/woman/krasota/luchshie-shampuni-dlya-sukhikh-volos/" xr:uid="{F9FB7B93-F0A3-4781-B615-6AEAAE37DFE8}"/>
    <hyperlink ref="L51" r:id="rId45" display="http://ozon.ru/" xr:uid="{1D5C5473-83CD-4F64-9BDB-E301DCCE0317}"/>
    <hyperlink ref="L57" r:id="rId46" display="https://yabs.yandex.ru/count/WliejI_zOoVX2LbW0sqN0EFecnIm4Kd0x0qJq9jAZlGz8U3r2EZGvtEvisVxdJlVzRNpzJjURxZ3jNCGTeeSX9qxK_YWk5MSSFx8iFueZM1LiiemelvKYwWtVew6QWJzA8rWLVhveGPHP_mS3VrKXQX7JkTT4oqXAGLPZv9g9ACXew3Qg4Y8YAeaLACkMZeYeiv88h64D6B8MbHa99IKPBqQ8HqDKQr8HaFP7J1bauNTqm471fM-H5GC26KXOD1nDD7ulS3AauSl1-Af0hGSYAKAq78WZYf0ou5uHm5Q3iJP0hGSY7KKeEL035M0DeQNLixN1EHOHMCt2aDEbnQRxOYmwF6fRwTTKuTguDAe3Pq-dpXKQajlvtGwhV5eD3g5Gf_J-txUKgcz0WVhnLyWlQHTUJDVtNYT94xXTbBEvnic6w_dJjdiFX1m0pY03Lp_GugPsnUO4XzXMWqx1bq0Rmad8m9mwQcQyX6U5ISrOff8OjgN8LZ666cuDCqs2WqbMwQ8hqGD7h3bhge310BuSa3Nxk002EyK1USS_VmiR4rKwTQWUtYHMTX1arKetrm1Cy50OiXDEaQdOSmN3W6hXcYLY0g0JWO3iYwkNrDlUUT_et_JaVV3dszgoGS3TS7_E-8lo_UE-ClokVaZtT-NM4B9h_L4wEP-rXEXcsEQcKzUPfdvv6MEcKkldzBacxVhkgxJPfaYOsCnkf6cnnFqE7gVeCVHMn-bruNECgTy-Ny52Ulpv0zsvcBsOzg34m1KSkJHV_55fXvXNKfGxBMUYLOJ8tW-wmCP2w-Sb7GHM_EwVtDCDDD1oOeRFAAPkLAfL0gjoVWs4mJbDoHRyScov0CFBVnS8-06ECaI4b5XT9NhvgfZPKrCsfFLrDXALbDTvU45H-PNoBmB-fVhnHWKkO_IhUxVhMd6JQcYpAYfhAlqHRrsTg6cYx3APbRvf30KZ0LdpyFZ0mzGshoiZdRpbwNCzHZIZWZ7NFkiWiDov25XaJwzDi7h_rRPfgHy~2?etext=2202.wzcP2X7nD92-Foty4BTwlFDAH9I84l7xAsBV28T3glKYFa3yovIMVm1_AN9OIQ0qiRPn_MRf9GdrKm3ShCuVO3p5YnB4d2tveGhmanBxZXQ.0fcdc0766b08ab83ae4b67c015b52faa12f7735e&amp;from=yandex.ru%3Bsearch%26%23x2F%3B%3Bweb%3B%3B0%3B&amp;q=%D1%88%D0%B0%D0%BC%D0%BF%D1%83%D0%BD%D1%8C+%D0%B4%D0%BB%D1%8F+%D0%BE%D0%BA%D1%80%D0%B0%D1%88%D0%B5%D0%BD%D0%BD%D1%8B%D1%85+%D0%B2%D0%BE%D0%BB%D0%BE%D1%81" xr:uid="{A78F8A56-B822-494F-8697-02C49A20D721}"/>
    <hyperlink ref="L58" r:id="rId47" display="https://yabs.yandex.ru/count/WpiejI_zOoVX2Lb90sqP0ECkixxMCW_Hz0JCtZ01lQda2BWA0juB2EZGvtEvisVxdJlVzRNpzJjURxZ3lPzEQ6vFeqveZaUTKXjwIssU6oHiwz4D9Hwb819LAeaSAdNQF4XALYGIDa-IqH699ACZ4aP5F4TK4jOYeoAU91BE9yyH2G1OYQX5FqTBHaWoIE09WOJKVjvIQFwKGdbaa80-eTCe5CUZKfk7Ic89wIV9oEY8Y3eZwUU6qXBL2lI3P5GjijRu2JeA-g5nPFq1il53HBKgKM_ytE0f8Z6ryoW-bJgbF44_GaLBHqJK6KaaXgnAILOIITKYAXBG21isR0ZkW2cRBEgKS824gbGEq40Gg0zC33gEEant6mAP2cX25n2c2_0cK02N0_5K0LeEn585Q3aGHnMWvK2yem0j1-9i0LeEn3eAq78WXYf06yDBA-Thuap5na41369okhIVhWKobzRKeHfH_1brFg7IfoszdSvdr7xQTfrBexWpVzxFv_syfL9x1GxMDw4ovuNiCCaK83VUHYL21X0AEfzlc6oydZjbi_j0m0tW03PmlLONoHKfLc0bFiAq6dOCkW3U4avt0d3fgPgoTzoA2giHEy2awtgDJXD9JFio1CiO8msNfjb6eQ5aonJnbQZ10xRSLNM0G01V3kXQBpW0mZj5mJb7FpyBMnDLH33rEC0dMjX1arKetrm1Kp0tUUnHs3PrB1sZqp3chyDyBnWwy2LmX04Q281E1WEoBgvVKszvvt_Zp6FY3qS7vpxO9ixhVo_mwFlU2ppwFZS34VtlrQh1hrt03Uzd5t33OvgNP2_CyfBiXJdUTLtNQNFJocl7u0IoHdgVGDP8RtsK7XSwI__vyW_JwmGz-OTT2O7oOzg34t2o7RppNzyabqMbwBUqhZCroMLHANhjdnpIrFVbizxh_cehfPoN9uPoTaGpSwLIgHHQ0q78Zj4nC2DG_fyNF4yyGENA7lpls8D9ot_MZxL2eGSHm8NBX8LhW0qfwzxAkMl9rRqJOFZpnQR8DI8-LxLayPK0ylu2m_qf32DyaNyt3-eKdKjcyfWdP66BLS5zBc81HTq4rmwPjTwYEIsit5FYFG00~2?etext=2202.2vBCcGGJAJM5tnu5zO37XoU6uJOJNwyCPKCsnO3kIg71huu7JcVskNp3k8QjEJJD_kXwhi8-oYTzyRYNoK1Pb2lwdWVma3l5cHl1ZGdoZWY.1fbf81fb3be7bb640dd20038fd7ac2d38dfce2ea&amp;from=yandex.ru%3Bsearch%26%23x2F%3B%3Bweb%3B%3B0%3B&amp;q=%D1%88%D0%B0%D0%BC%D0%BF%D1%83%D0%BD%D1%8C+%D0%B4%D0%BB%D1%8F+%D0%B6%D0%B8%D1%80%D0%BD%D1%8B%D1%85+%D0%B2%D0%BE%D0%BB%D0%BE%D1%81" xr:uid="{BC056398-232F-4B1B-BE24-B7CF6EDFA5BA}"/>
    <hyperlink ref="L59" r:id="rId48" display="https://yabs.yandex.ru/count/WmGejI_zOoVX2Lco0hKN0FFjhhxMBZs54p1xmmJqff8ZQ4KGy2uHq55iGL3kD84-dykTFTllt7d3dQ_VyNh37MxKjfqbga90IqaXaeo2aApLEkfqEfsvqxwdkOedY2Ma4TQXeoDgTSX8HWWdVaUV9Qf2FzSGUOpRIgC7bw36YnOkSWk0QaYhEGJGPucg49BL10dxTaA1RDokIe6gGL2fbHf4fOP0LEDgH9KcsKeaP90WCWeQSNIrSKH3QmTCsMHHnqF1o8BIHt0p3R2100mwZdVFjny5DA4B2DEI1N0v44yLeEL0B5M0bWDnL05Q3iGx2j1o8CuMeEL0hAC0BGTYg0AqCRoqShuc32CXQQMZm9mklGGSzVSXx3zuwIz2j7HHFcIz1oxCbak4R01n2x-ckYuS863T05yMFJvrRZzh6KCqxEZJ2RLlgUryub5eVakXUNrFRNlwjAFIwVDvIwNs2XoiJpAs66HnKWYOxyQRewH61rp8pkSR9XklvqxPx3uGS0CuW0rS_8YMhHGhi18VOLeDEmPT06y9fpi1kFHKJLacJIeHh4OSe-zwZKuJIKpxCWJB62CDbwRPHg6XPCiKyPMemGEst5LrW400NprOhHQCGMUQz57kQxnW3e3mJb5mpj7FpyBMHAEA6KFb3ZWBEsYo2kMRAs0AvWIYP2bigI2Jn92REXRCfCKwnOZf69s6CLyWrFATEXB17G2T30PaNLo_fjxoplz62ZoSVjY0A90VtFoY_I_pgkjxcLTTd_kpKd-tAOlxMWnTkP_5q9LZcd_U4sRvvprXZdTTrtNQJ7yraUBL178bYzwRGAvaqLiVfSU5pj9rlkpzfigcFFa7-Ti2-Z7jmGa0OK8bwRyuNPwR5ul5vEXtl2z96rZ7Ne6zzazcxLJgVDPxtNl9MLAoHeHaquvePgvKAfL2Qp2As34wXYMRyeSHAS1BaHLcPn7y4ujNygctbCQBPB6tWX6L1LxogfmcdmbOT0eFFaO5SXbhSBQfS4QjWe9_UrBSwAAX4rPcd98M~2?etext=2202.U2Y9sRWod5Im4pK4Ue_dyHtxsB0SXtTNFjxh2dUnDY14hfd8AVWlP9DGB5gGlMD0cHpoc3dxbHBtdmxnbHBvcQ.ffcb415baf80421c83d33fbd432c154402dd5b9e&amp;from=yandex.ru%3Bsearch%26%23x2F%3B%3Bweb%3B%3B0%3B&amp;q=%D1%88%D0%B0%D0%BC%D0%BF%D1%83%D0%BD%D1%8C+%D0%BE%D1%82+%D0%BF%D0%B5%D1%80%D1%85%D0%BE%D1%82%D0%B8&amp;baobab_event_id=mmlzede6tn" xr:uid="{609FC777-BE6A-4EAA-B77D-1DFB603B6F9D}"/>
    <hyperlink ref="L60" r:id="rId49" display="http://apteka.ru/" xr:uid="{6648A441-57BF-4FC8-B3FA-5500B23EDAB3}"/>
    <hyperlink ref="L61" r:id="rId50" display="http://ozon.ru/" xr:uid="{DBAF434C-8650-4B90-98B9-3AAF93F74443}"/>
    <hyperlink ref="L62" r:id="rId51" display="http://podrygka.ru/" xr:uid="{8773325B-8885-42FD-84DB-17142044A3F1}"/>
    <hyperlink ref="L68" r:id="rId52" display="http://market.yandex.ru/" xr:uid="{F348F4D3-0DAA-4649-8BB8-72C03FCCB6A0}"/>
    <hyperlink ref="L69" r:id="rId53" display="https://yabs.yandex.ru/count/WmGejI_zOoVX2Lco0hKN0FFjhhxMBZs54p1xmmJqff8ZQ4KGy2uHq55iGL3kD84-dykTFTllt7d3dQ_VyNh37MxKjfqbga90IqaXaeo2aApLEkfqEfsvqxwdkOedY2Ma4TQXeoDgTSX8HWWdVaUV9Qf2FzSGUOpRIgC7bw36YnOkSWk0QaYhEGJGPucg49BL10dxTaA1RDokIe6gGL2fbHf4fOP0LEDgH9KcsKeaP90WCWeQSNIrSKH3QmTCsMHHnqF1o8BIHt0p3R2100mwZdVFjny5DA4B2DEI1N0v44yLeEL0B5M0bWDnL05Q3iGx2j1o8CuMeEL0hAC0BGTYg0AqCRoqShuc32CXQQMZm9mklGGSzVSXx3zuwIz2j7HHFcIz1oxCbak4R01n2x-ckYuS863T05yMFJvrRZzh6KCqxEZJ2RLlgUryub5eVakXUNrFRNlwjAFIwVDvIwNs2XoiJpAs66HnKWYOxyQRewH61rp8pkSR9XklvqxPx3uGS0CuW0rS_8YMhHGhi18VOLeDEmPT06y9fpi1kFHKJLacJIeHh4OSe-zwZKuJIKpxCWJB62CDbwRPHg6XPCiKyPMemGEst5LrW400NprOhHQCGMUQz57kQxnW3e3mJb5mpj7FpyBMHAEA6KFb3ZWBEsYo2kMRAs0AvWIYP2bigI2Jn92REXRCfCKwnOZf69s6CLyWrFATEXB17G2T30PaNLo_fjxoplz62ZoSVjY0A90VtFoY_I_pgkjxcLTTd_kpKd-tAOlxMWnTkP_5q9LZcd_U4sRvvprXZdTTrtNQJ7yraUBL178bYzwRGAvaqLiVfSU5pj9rlkpzfigcFFa7-Ti2-Z7jmGa0OK8bwRyuNPwR5ul5vEXtl2z96rZ7Ne6zzazcxLJgVDPxtNl9MLAoHeHaquvePgvKAfL2Qp2As34wXYMRyeSHAS1BaHLcPn7y4ujNygctbCQBPB6tWX6L1LxogfmcdmbOT0eFFaO5SXbhSBQfS4QjWe9_UrBSwAAX4rPcd98M~2?etext=2202.U2Y9sRWod5Im4pK4Ue_dyHtxsB0SXtTNFjxh2dUnDY14hfd8AVWlP9DGB5gGlMD0cHpoc3dxbHBtdmxnbHBvcQ.ffcb415baf80421c83d33fbd432c154402dd5b9e&amp;from=yandex.ru%3Bsearch%26%23x2F%3B%3Bweb%3B%3B0%3B&amp;q=%D1%88%D0%B0%D0%BC%D0%BF%D1%83%D0%BD%D1%8C+%D0%BE%D1%82+%D0%BF%D0%B5%D1%80%D1%85%D0%BE%D1%82%D0%B8&amp;baobab_event_id=mmlzede6tn" xr:uid="{BE470C4B-C484-44A5-A989-5BD343E057A6}"/>
    <hyperlink ref="L70" r:id="rId54" display="https://yabs.yandex.ru/count/WqiejI_zOoVX2Lc20-qP02Fli_v8sby2Pfy0rnice3UL744hWe3t0W8wzFbSxkpPVkVE6-vy_OxN6-vmQrYhI2Ua86wUenDI43n99wGWZ8fug2Ua89nF7Xedf22YzjCvZU9uL6hp09sGWd3UqdmApPzIA8-C4r8Gq-VjX4wbJYbFq0afYEZJ-RoTJlj7gSYQP4Kwub4AeWBPIhTzX0UL258I-Y5IMWhn_Ab1vR4IKOjEI44eKODuh4Stb4v8GLoHU8oiCdweGbKhaT1Fqf6CdweGzUW52mfAL2Em1Y4j6IMPS3gZJoY98192IaOpaAn7TGqX9IEa8n9MeHfAII5OgoIIZ8QCQjHK9EkC82EaEibQuuRO3fYooQAEXuAH1QMFu6OQO0C167GSJMIfRe1p5cDp89ugGCk1MAe0BGVYg0Aq78Xt5A3bG9mjGCk1M4S1MWx4K0LeOtXfvNnD-2b1vCwCG-HqQJ-cgJWMFJvrRZzh6KCqxEZJ2RLlgUryub5eVakXUNrFRNlwjAFIwVDvIwNs2XoiJpAs66HnKWYOxyRBmxCLQGuvds-ORBoUEsMp-q303U00Dd0_M3d29SKAhCH7c5R3Za4Nm5l2wKu0BZrLK-w10YTN8wQ99APz6O9bZ966IzDiez1GicMA-4hKu05RxgewG220hnwirWiEWF1EKN3EqS_FmjR44vkow509ty8Ecgn2-UOAc8AvoKEFmjPJq64cbBsEAZ7afewbOtGQnlnrcEy5GYtVgICHt07GoM10riNrQ-ejx_nlh93szSFE9U4FRWvc_zU3xlTwqFrS4Qxy_UPjozVIMB8_IsF9Cisqb1-pJ4lvCSVCfRUvt7TTrtNQJ7yraU95L_tHErtrHszzb1uNEklVVBc3bzoS9_-mAoYEVanxS09EkAnW-QzlaXDR5FijhUjCJN9YYsAl_PD3ddpi7T7CNAbKAeNMO1InOtGCJApoL-24jIkomkmC8Vn9sMEcm0essFjWH0OyI5WH8SlHPm2dzWXK0s8OO1x-XcMut6BVshwxuY6YOIgQYe1lRIwThmfA8PHsmBTy0ShyawnnJfZlgnjgGkSlHJmY5MFdpfQPqxOc-7ptHS8jEez3MlGhh8nP0ZG0~2?etext=2202.U2Y9sRWod5Im4pK4Ue_dyHtxsB0SXtTNFjxh2dUnDY14hfd8AVWlP9DGB5gGlMD0cHpoc3dxbHBtdmxnbHBvcQ.ffcb415baf80421c83d33fbd432c154402dd5b9e&amp;from=yandex.ru%3Bsearch%26%23x2F%3B%3Bweb%3B%3B0%3B&amp;q=%D1%88%D0%B0%D0%BC%D0%BF%D1%83%D0%BD%D1%8C+%D0%BE%D1%82+%D0%BF%D0%B5%D1%80%D1%85%D0%BE%D1%82%D0%B8" xr:uid="{40AA737D-A215-4258-AD93-D2C6CD6B9316}"/>
    <hyperlink ref="L71" r:id="rId55" display="http://podrygka.ru/" xr:uid="{A7DA8C45-C58B-46EC-9821-0039AE9843E0}"/>
    <hyperlink ref="L72" r:id="rId56" display="https://yabs.yandex.ru/count/WmGejI_zOoVX2Lco0hKN0FFjhhxMBZs54p1xmmJqff8ZQ4KGy2uHq55iGL3kD84-dykTFTllt7d3dQ_VyNh37MxKjfqbga90IqaXaeo2aApLEkfqEfsvqxwdkOedY2Ma4TQXeoDgTSX8HWWdVaUV9Qf2FzSGUOpRIgC7bw36YnOkSWk0QaYhEGJGPucg49BL10dxTaA1RDokIe6gGL2fbHf4fOP0LEDgH9KcsKeaP90WCWeQSNIrSKH3QmTCsMHHnqF1o8BIHt0p3R2100mwZdVFjny5DA4B2DEI1N0v44yLeEL0B5M0bWDnL05Q3iGx2j1o8CuMeEL0hAC0BGTYg0AqCRoqShuc32CXQQMZm9mklGGSzVSXx3zuwIz2j7HHFcIz1oxCbak4R01n2x-ckYuS863T05yMFJvrRZzh6KCqxEZJ2RLlgUryub5eVakXUNrFRNlwjAFIwVDvIwNs2XoiJpAs66HnKWYOxyQRewH61rp8pkSR9XklvqxPx3uGS0CuW0rS_8YMhHGhi18VOLeDEmPT06y9fpi1kFHKJLacJIeHh4OSe-zwZKuJIKpxCWJB62CDbwRPHg6XPCiKyPMemGEst5LrW400NprOhHQCGMUQz57kQxnW3e3mJb5mpj7FpyBMHAEA6KFb3ZWBEsYo2kMRAs0AvWIYP2bigI2Jn92REXRCfCKwnOZf69s6CLyWrFATEXB17G2T30PaNLo_fjxoplz62ZoSVjY0A90VtFoY_I_pgkjxcLTTd_kpKd-tAOlxMWnTkP_5q9LZcd_U4sRvvprXZdTTrtNQJ7yraUBL178bYzwRGAvaqLiVfSU5pj9rlkpzfigcFFa7-Ti2-Z7jmGa0OK8bwRyuNPwR5ul5vEXtl2z96rZ7Ne6zzazcxLJgVDPxtNl9MLAoHeHaquvePgvKAfL2Qp2As34wXYMRyeSHAS1BaHLcPn7y4ujNygctbCQBPB6tWX6L1LxogfmcdmbOT0eFFaO5SXbhSBQfS4QjWe9_UrBSwAAX4rPcd98M~2?etext=2202.U2Y9sRWod5Im4pK4Ue_dyHtxsB0SXtTNFjxh2dUnDY14hfd8AVWlP9DGB5gGlMD0cHpoc3dxbHBtdmxnbHBvcQ.ffcb415baf80421c83d33fbd432c154402dd5b9e&amp;from=yandex.ru%3Bsearch%26%23x2F%3B%3Bweb%3B%3B0%3B&amp;q=%D1%88%D0%B0%D0%BC%D0%BF%D1%83%D0%BD%D1%8C+%D0%BE%D1%82+%D0%BF%D0%B5%D1%80%D1%85%D0%BE%D1%82%D0%B8&amp;baobab_event_id=mmlzede6tn" xr:uid="{9D7F4B66-5C65-4A46-945A-9BD882C3D4FB}"/>
    <hyperlink ref="L73" r:id="rId57" display="http://apteka.ru/" xr:uid="{07F0D781-A500-4540-A338-16FFE167D97B}"/>
    <hyperlink ref="L79" r:id="rId58" display="http://market.yandex.ru/" xr:uid="{52412EDD-A75B-432C-9895-7B3BA0031C01}"/>
    <hyperlink ref="L80" r:id="rId59" display="https://yabs.yandex.ru/count/WmGejI_zOoVX2Lco0hKN0FFjhhxMBZs54p1xmmJqff8ZQ4KGy2uHq55iGL3kD84-dykTFTllt7d3dQ_VyNh37MxKjfqbga90IqaXaeo2aApLEkfqEfsvqxwdkOedY2Ma4TQXeoDgTSX8HWWdVaUV9Qf2FzSGUOpRIgC7bw36YnOkSWk0QaYhEGJGPucg49BL10dxTaA1RDokIe6gGL2fbHf4fOP0LEDgH9KcsKeaP90WCWeQSNIrSKH3QmTCsMHHnqF1o8BIHt0p3R2100mwZdVFjny5DA4B2DEI1N0v44yLeEL0B5M0bWDnL05Q3iGx2j1o8CuMeEL0hAC0BGTYg0AqCRoqShuc32CXQQMZm9mklGGSzVSXx3zuwIz2j7HHFcIz1oxCbak4R01n2x-ckYuS863T05yMFJvrRZzh6KCqxEZJ2RLlgUryub5eVakXUNrFRNlwjAFIwVDvIwNs2XoiJpAs66HnKWYOxyQRewH61rp8pkSR9XklvqxPx3uGS0CuW0rS_8YMhHGhi18VOLeDEmPT06y9fpi1kFHKJLacJIeHh4OSe-zwZKuJIKpxCWJB62CDbwRPHg6XPCiKyPMemGEst5LrW400NprOhHQCGMUQz57kQxnW3e3mJb5mpj7FpyBMHAEA6KFb3ZWBEsYo2kMRAs0AvWIYP2bigI2Jn92REXRCfCKwnOZf69s6CLyWrFATEXB17G2T30PaNLo_fjxoplz62ZoSVjY0A90VtFoY_I_pgkjxcLTTd_kpKd-tAOlxMWnTkP_5q9LZcd_U4sRvvprXZdTTrtNQJ7yraUBL178bYzwRGAvaqLiVfSU5pj9rlkpzfigcFFa7-Ti2-Z7jmGa0OK8bwRyuNPwR5ul5vEXtl2z96rZ7Ne6zzazcxLJgVDPxtNl9MLAoHeHaquvePgvKAfL2Qp2As34wXYMRyeSHAS1BaHLcPn7y4ujNygctbCQBPB6tWX6L1LxogfmcdmbOT0eFFaO5SXbhSBQfS4QjWe9_UrBSwAAX4rPcd98M~2?etext=2202.U2Y9sRWod5Im4pK4Ue_dyHtxsB0SXtTNFjxh2dUnDY14hfd8AVWlP9DGB5gGlMD0cHpoc3dxbHBtdmxnbHBvcQ.ffcb415baf80421c83d33fbd432c154402dd5b9e&amp;from=yandex.ru%3Bsearch%26%23x2F%3B%3Bweb%3B%3B0%3B&amp;q=%D1%88%D0%B0%D0%BC%D0%BF%D1%83%D0%BD%D1%8C+%D0%BE%D1%82+%D0%BF%D0%B5%D1%80%D1%85%D0%BE%D1%82%D0%B8&amp;baobab_event_id=mmlzede6tn" xr:uid="{94A37DDD-8390-467F-BCB3-449DB569B95F}"/>
    <hyperlink ref="L81" r:id="rId60" display="https://yabs.yandex.ru/count/Wl8ejI_zOoVX2Lde0YKN03Ehf4CxP09cRvY0tbHon4-CW7U9W9w2gbJkD84-dykTFTlltFckhvslt_5wmntkDCTn_8bBdr5fRa_pspbzsazyAdLAauo6Z6hKr1j3rHh9McGabAGaL2qoeb4B2Sq8IbgwGRrHD0C7TQZ6KlsCuhWJQa-VzoqbeHIqL3L2Eb8YOKMY1jLM6oIEZ6OarLOIH4P18uYIZ8A6PlpjW2cRBEmcs3A_b3w29ZCTB3amw3YQQ0n05oW5YATm89ugGCk1MAe0BGVYg0Aq78Xt5A3bG9mjGCk1M4S1MWx4K0LeOtXfvNnDZ6redTq8AUHqQJ-ToTaRaWN1GcFIU6N705yMFJxrxRHhwb2Dfsq_xQWTZURIUvf7xpk_xTgUIdFxYUStVZzlgTHcWOFruY-GNjAkl9clRhmZO54zhcaTDcboipy5u93OeyFvVCDau_NSAPlT1m9k00UmWUklgE2XcSTAV8HfDUmOT06y9Ppk1E0waDLtlKQdYIIcVHc2POoHXalJRAFGKB9bYlXArE01M-wgEa0WW2y7j5YmFKRBzOMyO0w0y4vHSCxHpy_2raHWrv2GBeHT5dRGP1NADrV05Cm9HDb1OUifw30JoXRym5vYo4qT2sRIOfrYn7ICJiEOBqZfOKpYGGHD0T39O43MnVLhwYtl_6yaW8hJ3tidBu0VJE6HxNydR77vtWbRN3vNnclixmaypdtj3X3jp-u0qJBDtWWKPjaRWS8SCvVUvdBVTLtNQVC5GpUsj072c23fVO0m9aXwwwFqkj1P3-dBlukl3z6JVvWLb3y_fZqu0IS-T73z5rSSZEGs7Ta2-nstyaMAbsaDxyzh_-GG9Yc0FkkFQ6QkL2gLGcipnFQohFn26AZ9wf45GmGO_4t31q3TBVj0zl5VBN96GM8_-ugbTxFTIP2ikTAfLh9XN0N2rlOoD-gpWPSd-d3bzhj-oG184kTLyYa81V-_7zl4HP7wky08MwNrOne1~2?etext=2202.9qaYt-dbbUQAN36u5Db0f5SySBZPxphnasgS1z7V1vanpK6aqtxc72sgquNdSwi_eXJ0b2p0Zml1ZnVrY3l1bA.b9b7e2e733b97c875427de7c3677a66ac97a5d2b&amp;from=yandex.ru%3Bsearch%26%23x2F%3B%3Bweb%3B%3B0%3B&amp;q=%D0%BA%D0%BE%D0%BD%D0%B4%D0%B8%D1%86%D0%B8%D0%BE%D0%BD%D0%B5%D1%80+%D0%B4%D0%BB%D1%8F+%D0%B2%D0%BE%D0%BB%D0%BE%D1%81" xr:uid="{116B7B0C-FEE3-4215-AA72-F41ACFD733E3}"/>
    <hyperlink ref="L82" r:id="rId61" display="https://yabs.yandex.ru/count/WmGejI_zOoVX2Lco0hKN0FFjhhxMBZs54p1xmmJqff8ZQ4KGy2uHq55iGL3kD84-dykTFTllt7d3dQ_VyNh37MxKjfqbga90IqaXaeo2aApLEkfqEfsvqxwdkOedY2Ma4TQXeoDgTSX8HWWdVaUV9Qf2FzSGUOpRIgC7bw36YnOkSWk0QaYhEGJGPucg49BL10dxTaA1RDokIe6gGL2fbHf4fOP0LEDgH9KcsKeaP90WCWeQSNIrSKH3QmTCsMHHnqF1o8BIHt0p3R2100mwZdVFjny5DA4B2DEI1N0v44yLeEL0B5M0bWDnL05Q3iGx2j1o8CuMeEL0hAC0BGTYg0AqCRoqShuc32CXQQMZm9mklGGSzVSXx3zuwIz2j7HHFcIz1oxCbak4R01n2x-ckYuS863T05yMFJvrRZzh6KCqxEZJ2RLlgUryub5eVakXUNrFRNlwjAFIwVDvIwNs2XoiJpAs66HnKWYOxyQRewH61rp8pkSR9XklvqxPx3uGS0CuW0rS_8YMhHGhi18VOLeDEmPT06y9fpi1kFHKJLacJIeHh4OSe-zwZKuJIKpxCWJB62CDbwRPHg6XPCiKyPMemGEst5LrW400NprOhHQCGMUQz57kQxnW3e3mJb5mpj7FpyBMHAEA6KFb3ZWBEsYo2kMRAs0AvWIYP2bigI2Jn92REXRCfCKwnOZf69s6CLyWrFATEXB17G2T30PaNLo_fjxoplz62ZoSVjY0A90VtFoY_I_pgkjxcLTTd_kpKd-tAOlxMWnTkP_5q9LZcd_U4sRvvprXZdTTrtNQJ7yraUBL178bYzwRGAvaqLiVfSU5pj9rlkpzfigcFFa7-Ti2-Z7jmGa0OK8bwRyuNPwR5ul5vEXtl2z96rZ7Ne6zzazcxLJgVDPxtNl9MLAoHeHaquvePgvKAfL2Qp2As34wXYMRyeSHAS1BaHLcPn7y4ujNygctbCQBPB6tWX6L1LxogfmcdmbOT0eFFaO5SXbhSBQfS4QjWe9_UrBSwAAX4rPcd98M~2?etext=2202.U2Y9sRWod5Im4pK4Ue_dyHtxsB0SXtTNFjxh2dUnDY14hfd8AVWlP9DGB5gGlMD0cHpoc3dxbHBtdmxnbHBvcQ.ffcb415baf80421c83d33fbd432c154402dd5b9e&amp;from=yandex.ru%3Bsearch%26%23x2F%3B%3Bweb%3B%3B0%3B&amp;q=%D1%88%D0%B0%D0%BC%D0%BF%D1%83%D0%BD%D1%8C+%D0%BE%D1%82+%D0%BF%D0%B5%D1%80%D1%85%D0%BE%D1%82%D0%B8&amp;baobab_event_id=mmlzede6tn" xr:uid="{BFEF1076-C80A-4E2F-8396-23B999029CBF}"/>
    <hyperlink ref="L83" r:id="rId62" display="http://ozon.ru/" xr:uid="{B96B36D6-FE4A-4BEA-9078-1C27EB5C4F93}"/>
    <hyperlink ref="L84" r:id="rId63" display="https://www.proficosmetics.ru/catalog/dlya-volos/kondicionery/?ysclid=mmm201nfby336589352" xr:uid="{C7366AA9-1507-4F4E-9C24-FE77FFD3EA90}"/>
    <hyperlink ref="M81" r:id="rId64" display="http://randewoo.ru/" xr:uid="{CA1C2878-2DFC-480B-BCCE-C74A07742FF4}"/>
    <hyperlink ref="L90" r:id="rId65" display="http://market.yandex.ru/" xr:uid="{85B7BD61-75B1-4ACB-847E-0D2B5CACBF32}"/>
    <hyperlink ref="L91" r:id="rId66" display="https://yabs.yandex.ru/count/WmGejI_zOoVX2Lco0hKN0FFjhhxMBZs54p1xmmJqff8ZQ4KGy2uHq55iGL3kD84-dykTFTllt7d3dQ_VyNh37MxKjfqbga90IqaXaeo2aApLEkfqEfsvqxwdkOedY2Ma4TQXeoDgTSX8HWWdVaUV9Qf2FzSGUOpRIgC7bw36YnOkSWk0QaYhEGJGPucg49BL10dxTaA1RDokIe6gGL2fbHf4fOP0LEDgH9KcsKeaP90WCWeQSNIrSKH3QmTCsMHHnqF1o8BIHt0p3R2100mwZdVFjny5DA4B2DEI1N0v44yLeEL0B5M0bWDnL05Q3iGx2j1o8CuMeEL0hAC0BGTYg0AqCRoqShuc32CXQQMZm9mklGGSzVSXx3zuwIz2j7HHFcIz1oxCbak4R01n2x-ckYuS863T05yMFJvrRZzh6KCqxEZJ2RLlgUryub5eVakXUNrFRNlwjAFIwVDvIwNs2XoiJpAs66HnKWYOxyQRewH61rp8pkSR9XklvqxPx3uGS0CuW0rS_8YMhHGhi18VOLeDEmPT06y9fpi1kFHKJLacJIeHh4OSe-zwZKuJIKpxCWJB62CDbwRPHg6XPCiKyPMemGEst5LrW400NprOhHQCGMUQz57kQxnW3e3mJb5mpj7FpyBMHAEA6KFb3ZWBEsYo2kMRAs0AvWIYP2bigI2Jn92REXRCfCKwnOZf69s6CLyWrFATEXB17G2T30PaNLo_fjxoplz62ZoSVjY0A90VtFoY_I_pgkjxcLTTd_kpKd-tAOlxMWnTkP_5q9LZcd_U4sRvvprXZdTTrtNQJ7yraUBL178bYzwRGAvaqLiVfSU5pj9rlkpzfigcFFa7-Ti2-Z7jmGa0OK8bwRyuNPwR5ul5vEXtl2z96rZ7Ne6zzazcxLJgVDPxtNl9MLAoHeHaquvePgvKAfL2Qp2As34wXYMRyeSHAS1BaHLcPn7y4ujNygctbCQBPB6tWX6L1LxogfmcdmbOT0eFFaO5SXbhSBQfS4QjWe9_UrBSwAAX4rPcd98M~2?etext=2202.U2Y9sRWod5Im4pK4Ue_dyHtxsB0SXtTNFjxh2dUnDY14hfd8AVWlP9DGB5gGlMD0cHpoc3dxbHBtdmxnbHBvcQ.ffcb415baf80421c83d33fbd432c154402dd5b9e&amp;from=yandex.ru%3Bsearch%26%23x2F%3B%3Bweb%3B%3B0%3B&amp;q=%D1%88%D0%B0%D0%BC%D0%BF%D1%83%D0%BD%D1%8C+%D0%BE%D1%82+%D0%BF%D0%B5%D1%80%D1%85%D0%BE%D1%82%D0%B8&amp;baobab_event_id=mmlzede6tn" xr:uid="{494643AA-431A-4BE7-844B-FB83B78BB6ED}"/>
    <hyperlink ref="L92" r:id="rId67" display="http://ozon.ru/" xr:uid="{BEA6C047-A076-45B1-B076-CF140F9C660E}"/>
    <hyperlink ref="L93" r:id="rId68" display="http://apteka.ru/" xr:uid="{A5A9F921-D8B2-4287-8BF8-28183ED97223}"/>
    <hyperlink ref="L94" r:id="rId69" display="https://yabs.yandex.ru/count/WmGejI_zOoVX2Lco0hKN0FFjhhxMBZs54p1xmmJqff8ZQ4KGy2uHq55iGL3kD84-dykTFTllt7d3dQ_VyNh37MxKjfqbga90IqaXaeo2aApLEkfqEfsvqxwdkOedY2Ma4TQXeoDgTSX8HWWdVaUV9Qf2FzSGUOpRIgC7bw36YnOkSWk0QaYhEGJGPucg49BL10dxTaA1RDokIe6gGL2fbHf4fOP0LEDgH9KcsKeaP90WCWeQSNIrSKH3QmTCsMHHnqF1o8BIHt0p3R2100mwZdVFjny5DA4B2DEI1N0v44yLeEL0B5M0bWDnL05Q3iGx2j1o8CuMeEL0hAC0BGTYg0AqCRoqShuc32CXQQMZm9mklGGSzVSXx3zuwIz2j7HHFcIz1oxCbak4R01n2x-ckYuS863T05yMFJvrRZzh6KCqxEZJ2RLlgUryub5eVakXUNrFRNlwjAFIwVDvIwNs2XoiJpAs66HnKWYOxyQRewH61rp8pkSR9XklvqxPx3uGS0CuW0rS_8YMhHGhi18VOLeDEmPT06y9fpi1kFHKJLacJIeHh4OSe-zwZKuJIKpxCWJB62CDbwRPHg6XPCiKyPMemGEst5LrW400NprOhHQCGMUQz57kQxnW3e3mJb5mpj7FpyBMHAEA6KFb3ZWBEsYo2kMRAs0AvWIYP2bigI2Jn92REXRCfCKwnOZf69s6CLyWrFATEXB17G2T30PaNLo_fjxoplz62ZoSVjY0A90VtFoY_I_pgkjxcLTTd_kpKd-tAOlxMWnTkP_5q9LZcd_U4sRvvprXZdTTrtNQJ7yraUBL178bYzwRGAvaqLiVfSU5pj9rlkpzfigcFFa7-Ti2-Z7jmGa0OK8bwRyuNPwR5ul5vEXtl2z96rZ7Ne6zzazcxLJgVDPxtNl9MLAoHeHaquvePgvKAfL2Qp2As34wXYMRyeSHAS1BaHLcPn7y4ujNygctbCQBPB6tWX6L1LxogfmcdmbOT0eFFaO5SXbhSBQfS4QjWe9_UrBSwAAX4rPcd98M~2?etext=2202.U2Y9sRWod5Im4pK4Ue_dyHtxsB0SXtTNFjxh2dUnDY14hfd8AVWlP9DGB5gGlMD0cHpoc3dxbHBtdmxnbHBvcQ.ffcb415baf80421c83d33fbd432c154402dd5b9e&amp;from=yandex.ru%3Bsearch%26%23x2F%3B%3Bweb%3B%3B0%3B&amp;q=%D1%88%D0%B0%D0%BC%D0%BF%D1%83%D0%BD%D1%8C+%D0%BE%D1%82+%D0%BF%D0%B5%D1%80%D1%85%D0%BE%D1%82%D0%B8&amp;baobab_event_id=mmlzede6tn" xr:uid="{437B9E9C-EA94-49C0-979A-D5B26ED51276}"/>
    <hyperlink ref="L95" r:id="rId70" display="http://podrygka.ru/" xr:uid="{91EE8CA8-A668-4773-9E21-FA5AF497F47E}"/>
    <hyperlink ref="J101" r:id="rId71" display="https://wordstat.yandex.ru/?region=all&amp;view=table&amp;words=heading%20shoulders" xr:uid="{B3DC9B95-75F7-41D6-B85C-B7DA52F1A8EC}"/>
    <hyperlink ref="L101" r:id="rId72" display="http://market.yandex.ru/" xr:uid="{10C8AA28-81F0-4E6A-80F5-6177DF58CCDB}"/>
    <hyperlink ref="L102" r:id="rId73" display="https://yabs.yandex.ru/count/WmGejI_zOoVX2Lco0hKN0FFjhhxMBZs54p1xmmJqff8ZQ4KGy2uHq55iGL3kD84-dykTFTllt7d3dQ_VyNh37MxKjfqbga90IqaXaeo2aApLEkfqEfsvqxwdkOedY2Ma4TQXeoDgTSX8HWWdVaUV9Qf2FzSGUOpRIgC7bw36YnOkSWk0QaYhEGJGPucg49BL10dxTaA1RDokIe6gGL2fbHf4fOP0LEDgH9KcsKeaP90WCWeQSNIrSKH3QmTCsMHHnqF1o8BIHt0p3R2100mwZdVFjny5DA4B2DEI1N0v44yLeEL0B5M0bWDnL05Q3iGx2j1o8CuMeEL0hAC0BGTYg0AqCRoqShuc32CXQQMZm9mklGGSzVSXx3zuwIz2j7HHFcIz1oxCbak4R01n2x-ckYuS863T05yMFJvrRZzh6KCqxEZJ2RLlgUryub5eVakXUNrFRNlwjAFIwVDvIwNs2XoiJpAs66HnKWYOxyQRewH61rp8pkSR9XklvqxPx3uGS0CuW0rS_8YMhHGhi18VOLeDEmPT06y9fpi1kFHKJLacJIeHh4OSe-zwZKuJIKpxCWJB62CDbwRPHg6XPCiKyPMemGEst5LrW400NprOhHQCGMUQz57kQxnW3e3mJb5mpj7FpyBMHAEA6KFb3ZWBEsYo2kMRAs0AvWIYP2bigI2Jn92REXRCfCKwnOZf69s6CLyWrFATEXB17G2T30PaNLo_fjxoplz62ZoSVjY0A90VtFoY_I_pgkjxcLTTd_kpKd-tAOlxMWnTkP_5q9LZcd_U4sRvvprXZdTTrtNQJ7yraUBL178bYzwRGAvaqLiVfSU5pj9rlkpzfigcFFa7-Ti2-Z7jmGa0OK8bwRyuNPwR5ul5vEXtl2z96rZ7Ne6zzazcxLJgVDPxtNl9MLAoHeHaquvePgvKAfL2Qp2As34wXYMRyeSHAS1BaHLcPn7y4ujNygctbCQBPB6tWX6L1LxogfmcdmbOT0eFFaO5SXbhSBQfS4QjWe9_UrBSwAAX4rPcd98M~2?etext=2202.U2Y9sRWod5Im4pK4Ue_dyHtxsB0SXtTNFjxh2dUnDY14hfd8AVWlP9DGB5gGlMD0cHpoc3dxbHBtdmxnbHBvcQ.ffcb415baf80421c83d33fbd432c154402dd5b9e&amp;from=yandex.ru%3Bsearch%26%23x2F%3B%3Bweb%3B%3B0%3B&amp;q=%D1%88%D0%B0%D0%BC%D0%BF%D1%83%D0%BD%D1%8C+%D0%BE%D1%82+%D0%BF%D0%B5%D1%80%D1%85%D0%BE%D1%82%D0%B8&amp;baobab_event_id=mmlzede6tn" xr:uid="{766A354A-F42E-4AB9-A600-1CB1F80D1C04}"/>
    <hyperlink ref="L103" r:id="rId74" display="https://headandshoulders.com/" xr:uid="{BDD1B4D4-004B-4144-8C5C-46D89D30595A}"/>
    <hyperlink ref="L104" r:id="rId75" display="http://ozon.ru/" xr:uid="{2F0AEAE8-67E4-48DD-8FBD-5BBA24FB16CF}"/>
    <hyperlink ref="L105" r:id="rId76" display="https://yabs.yandex.ru/count/WpiejI_zOoVX2Lb90sqP0ECkixxMCW_Hz0JCtZ01lQda2BWA0juB2EZGvtEvisVxdJlVzRNpzJjURxZ3lPzEQ6vFeqveZaUTKXjwIssU6oHiwz4D9Hwb819LAeaSAdNQF4XALYGIDa-IqH699ACZ4aP5F4TK4jOYeoAU91BE9yyH2G1OYQX5FqTBHaWoIE09WOJKVjvIQFwKGdbaa80-eTCe5CUZKfk7Ic89wIV9oEY8Y3eZwUU6qXBL2lI3P5GjijRu2JeA-g5nPFq1il53HBKgKM_ytE0f8Z6ryoW-bJgbF44_GaLBHqJK6KaaXgnAILOIITKYAXBG21isR0ZkW2cRBEgKS824gbGEq40Gg0zC33gEEant6mAP2cX25n2c2_0cK02N0_5K0LeEn585Q3aGHnMWvK2yem0j1-9i0LeEn3eAq78WXYf06yDBA-Thuap5na41369okhIVhWKobzRKeHfH_1brFg7IfoszdSvdr7xQTfrBexWpVzxFv_syfL9x1GxMDw4ovuNiCCaK83VUHYL21X0AEfzlc6oydZjbi_j0m0tW03PmlLONoHKfLc0bFiAq6dOCkW3U4avt0d3fgPgoTzoA2giHEy2awtgDJXD9JFio1CiO8msNfjb6eQ5aonJnbQZ10xRSLNM0G01V3kXQBpW0mZj5mJb7FpyBMnDLH33rEC0dMjX1arKetrm1Kp0tUUnHs3PrB1sZqp3chyDyBnWwy2LmX04Q281E1WEoBgvVKszvvt_Zp6FY3qS7vpxO9ixhVo_mwFlU2ppwFZS34VtlrQh1hrt03Uzd5t33OvgNP2_CyfBiXJdUTLtNQNFJocl7u0IoHdgVGDP8RtsK7XSwI__vyW_JwmGz-OTT2O7oOzg34t2o7RppNzyabqMbwBUqhZCroMLHANhjdnpIrFVbizxh_cehfPoN9uPoTaGpSwLIgHHQ0q78Zj4nC2DG_fyNF4yyGENA7lpls8D9ot_MZxL2eGSHm8NBX8LhW0qfwzxAkMl9rRqJOFZpnQR8DI8-LxLayPK0ylu2m_qf32DyaNyt3-eKdKjcyfWdP66BLS5zBc81HTq4rmwPjTwYEIsit5FYFG00~2?etext=2202.2vBCcGGJAJM5tnu5zO37XoU6uJOJNwyCPKCsnO3kIg71huu7JcVskNp3k8QjEJJD_kXwhi8-oYTzyRYNoK1Pb2lwdWVma3l5cHl1ZGdoZWY.1fbf81fb3be7bb640dd20038fd7ac2d38dfce2ea&amp;from=yandex.ru%3Bsearch%26%23x2F%3B%3Bweb%3B%3B0%3B&amp;q=%D1%88%D0%B0%D0%BC%D0%BF%D1%83%D0%BD%D1%8C+%D0%B4%D0%BB%D1%8F+%D0%B6%D0%B8%D1%80%D0%BD%D1%8B%D1%85+%D0%B2%D0%BE%D0%BB%D0%BE%D1%81" xr:uid="{8F38F16A-53FF-4020-A02C-59022EB8B748}"/>
    <hyperlink ref="J106" r:id="rId77" display="https://wordstat.yandex.ru/?region=all&amp;view=table&amp;words=head%20and%20shoulders" xr:uid="{2A018497-192D-421E-9CE5-31D907B51C51}"/>
    <hyperlink ref="L106" r:id="rId78" display="https://yabs.yandex.ru/count/WmGejI_zOoVX2Lco0hKN0FFjhhxMBZs54p1xmmJqff8ZQ4KGy2uHq55iGL3kD84-dykTFTllt7d3dQ_VyNh37MxKjfqbga90IqaXaeo2aApLEkfqEfsvqxwdkOedY2Ma4TQXeoDgTSX8HWWdVaUV9Qf2FzSGUOpRIgC7bw36YnOkSWk0QaYhEGJGPucg49BL10dxTaA1RDokIe6gGL2fbHf4fOP0LEDgH9KcsKeaP90WCWeQSNIrSKH3QmTCsMHHnqF1o8BIHt0p3R2100mwZdVFjny5DA4B2DEI1N0v44yLeEL0B5M0bWDnL05Q3iGx2j1o8CuMeEL0hAC0BGTYg0AqCRoqShuc32CXQQMZm9mklGGSzVSXx3zuwIz2j7HHFcIz1oxCbak4R01n2x-ckYuS863T05yMFJvrRZzh6KCqxEZJ2RLlgUryub5eVakXUNrFRNlwjAFIwVDvIwNs2XoiJpAs66HnKWYOxyQRewH61rp8pkSR9XklvqxPx3uGS0CuW0rS_8YMhHGhi18VOLeDEmPT06y9fpi1kFHKJLacJIeHh4OSe-zwZKuJIKpxCWJB62CDbwRPHg6XPCiKyPMemGEst5LrW400NprOhHQCGMUQz57kQxnW3e3mJb5mpj7FpyBMHAEA6KFb3ZWBEsYo2kMRAs0AvWIYP2bigI2Jn92REXRCfCKwnOZf69s6CLyWrFATEXB17G2T30PaNLo_fjxoplz62ZoSVjY0A90VtFoY_I_pgkjxcLTTd_kpKd-tAOlxMWnTkP_5q9LZcd_U4sRvvprXZdTTrtNQJ7yraUBL178bYzwRGAvaqLiVfSU5pj9rlkpzfigcFFa7-Ti2-Z7jmGa0OK8bwRyuNPwR5ul5vEXtl2z96rZ7Ne6zzazcxLJgVDPxtNl9MLAoHeHaquvePgvKAfL2Qp2As34wXYMRyeSHAS1BaHLcPn7y4ujNygctbCQBPB6tWX6L1LxogfmcdmbOT0eFFaO5SXbhSBQfS4QjWe9_UrBSwAAX4rPcd98M~2?etext=2202.U2Y9sRWod5Im4pK4Ue_dyHtxsB0SXtTNFjxh2dUnDY14hfd8AVWlP9DGB5gGlMD0cHpoc3dxbHBtdmxnbHBvcQ.ffcb415baf80421c83d33fbd432c154402dd5b9e&amp;from=yandex.ru%3Bsearch%26%23x2F%3B%3Bweb%3B%3B0%3B&amp;q=%D1%88%D0%B0%D0%BC%D0%BF%D1%83%D0%BD%D1%8C+%D0%BE%D1%82+%D0%BF%D0%B5%D1%80%D1%85%D0%BE%D1%82%D0%B8&amp;baobab_event_id=mmlzede6tn" xr:uid="{A82025BC-CBBC-4220-B3F9-562112AF13B5}"/>
    <hyperlink ref="L107" r:id="rId79" display="http://market.yandex.ru/" xr:uid="{AB1AAEF8-60D9-4556-B51D-BF9DBC2A7689}"/>
    <hyperlink ref="L108" r:id="rId80" display="http://ozon.ru/" xr:uid="{147DF3E8-F3A1-465E-AFDC-87BDBFF684F8}"/>
    <hyperlink ref="L109" r:id="rId81" display="https://apteka.ru/" xr:uid="{F5D02712-F069-4818-9CBF-ABF344942253}"/>
    <hyperlink ref="L110" r:id="rId82" display="https://yabs.yandex.ru/count/WmGejI_zOoVX2Lco0hKN0FFjhhxMBZs54p1xmmJqff8ZQ4KGy2uHq55iGL3kD84-dykTFTllt7d3dQ_VyNh37MxKjfqbga90IqaXaeo2aApLEkfqEfsvqxwdkOedY2Ma4TQXeoDgTSX8HWWdVaUV9Qf2FzSGUOpRIgC7bw36YnOkSWk0QaYhEGJGPucg49BL10dxTaA1RDokIe6gGL2fbHf4fOP0LEDgH9KcsKeaP90WCWeQSNIrSKH3QmTCsMHHnqF1o8BIHt0p3R2100mwZdVFjny5DA4B2DEI1N0v44yLeEL0B5M0bWDnL05Q3iGx2j1o8CuMeEL0hAC0BGTYg0AqCRoqShuc32CXQQMZm9mklGGSzVSXx3zuwIz2j7HHFcIz1oxCbak4R01n2x-ckYuS863T05yMFJvrRZzh6KCqxEZJ2RLlgUryub5eVakXUNrFRNlwjAFIwVDvIwNs2XoiJpAs66HnKWYOxyQRewH61rp8pkSR9XklvqxPx3uGS0CuW0rS_8YMhHGhi18VOLeDEmPT06y9fpi1kFHKJLacJIeHh4OSe-zwZKuJIKpxCWJB62CDbwRPHg6XPCiKyPMemGEst5LrW400NprOhHQCGMUQz57kQxnW3e3mJb5mpj7FpyBMHAEA6KFb3ZWBEsYo2kMRAs0AvWIYP2bigI2Jn92REXRCfCKwnOZf69s6CLyWrFATEXB17G2T30PaNLo_fjxoplz62ZoSVjY0A90VtFoY_I_pgkjxcLTTd_kpKd-tAOlxMWnTkP_5q9LZcd_U4sRvvprXZdTTrtNQJ7yraUBL178bYzwRGAvaqLiVfSU5pj9rlkpzfigcFFa7-Ti2-Z7jmGa0OK8bwRyuNPwR5ul5vEXtl2z96rZ7Ne6zzazcxLJgVDPxtNl9MLAoHeHaquvePgvKAfL2Qp2As34wXYMRyeSHAS1BaHLcPn7y4ujNygctbCQBPB6tWX6L1LxogfmcdmbOT0eFFaO5SXbhSBQfS4QjWe9_UrBSwAAX4rPcd98M~2?etext=2202.U2Y9sRWod5Im4pK4Ue_dyHtxsB0SXtTNFjxh2dUnDY14hfd8AVWlP9DGB5gGlMD0cHpoc3dxbHBtdmxnbHBvcQ.ffcb415baf80421c83d33fbd432c154402dd5b9e&amp;from=yandex.ru%3Bsearch%26%23x2F%3B%3Bweb%3B%3B0%3B&amp;q=%D1%88%D0%B0%D0%BC%D0%BF%D1%83%D0%BD%D1%8C+%D0%BE%D1%82+%D0%BF%D0%B5%D1%80%D1%85%D0%BE%D1%82%D0%B8&amp;baobab_event_id=mmlzede6tn" xr:uid="{74F0B299-94D0-444F-B7F2-003A63978A08}"/>
    <hyperlink ref="J116" r:id="rId83" display="https://wordstat.yandex.ru/?region=all&amp;view=table&amp;words=%D1%88%D0%B0%D0%BC%D0%BF%D1%83%D0%BD%D1%8C%20pantene" xr:uid="{CC41FD48-A468-468C-855A-6BA87368C8D0}"/>
    <hyperlink ref="L116" r:id="rId84" display="https://yabs.yandex.ru/count/WmGejI_zOoVX2Lco0hKN0FFjhhxMBZs54p1xmmJqff8ZQ4KGy2uHq55iGL3kD84-dykTFTllt7d3dQ_VyNh37MxKjfqbga90IqaXaeo2aApLEkfqEfsvqxwdkOedY2Ma4TQXeoDgTSX8HWWdVaUV9Qf2FzSGUOpRIgC7bw36YnOkSWk0QaYhEGJGPucg49BL10dxTaA1RDokIe6gGL2fbHf4fOP0LEDgH9KcsKeaP90WCWeQSNIrSKH3QmTCsMHHnqF1o8BIHt0p3R2100mwZdVFjny5DA4B2DEI1N0v44yLeEL0B5M0bWDnL05Q3iGx2j1o8CuMeEL0hAC0BGTYg0AqCRoqShuc32CXQQMZm9mklGGSzVSXx3zuwIz2j7HHFcIz1oxCbak4R01n2x-ckYuS863T05yMFJvrRZzh6KCqxEZJ2RLlgUryub5eVakXUNrFRNlwjAFIwVDvIwNs2XoiJpAs66HnKWYOxyQRewH61rp8pkSR9XklvqxPx3uGS0CuW0rS_8YMhHGhi18VOLeDEmPT06y9fpi1kFHKJLacJIeHh4OSe-zwZKuJIKpxCWJB62CDbwRPHg6XPCiKyPMemGEst5LrW400NprOhHQCGMUQz57kQxnW3e3mJb5mpj7FpyBMHAEA6KFb3ZWBEsYo2kMRAs0AvWIYP2bigI2Jn92REXRCfCKwnOZf69s6CLyWrFATEXB17G2T30PaNLo_fjxoplz62ZoSVjY0A90VtFoY_I_pgkjxcLTTd_kpKd-tAOlxMWnTkP_5q9LZcd_U4sRvvprXZdTTrtNQJ7yraUBL178bYzwRGAvaqLiVfSU5pj9rlkpzfigcFFa7-Ti2-Z7jmGa0OK8bwRyuNPwR5ul5vEXtl2z96rZ7Ne6zzazcxLJgVDPxtNl9MLAoHeHaquvePgvKAfL2Qp2As34wXYMRyeSHAS1BaHLcPn7y4ujNygctbCQBPB6tWX6L1LxogfmcdmbOT0eFFaO5SXbhSBQfS4QjWe9_UrBSwAAX4rPcd98M~2?etext=2202.U2Y9sRWod5Im4pK4Ue_dyHtxsB0SXtTNFjxh2dUnDY14hfd8AVWlP9DGB5gGlMD0cHpoc3dxbHBtdmxnbHBvcQ.ffcb415baf80421c83d33fbd432c154402dd5b9e&amp;from=yandex.ru%3Bsearch%26%23x2F%3B%3Bweb%3B%3B0%3B&amp;q=%D1%88%D0%B0%D0%BC%D0%BF%D1%83%D0%BD%D1%8C+%D0%BE%D1%82+%D0%BF%D0%B5%D1%80%D1%85%D0%BE%D1%82%D0%B8&amp;baobab_event_id=mmlzede6tn" xr:uid="{CC9697FB-956A-4968-9D24-AE8E0C4AACD8}"/>
    <hyperlink ref="L117" r:id="rId85" display="https://yabs.yandex.ru/count/WmGejI_zOoVX2Lco0hKN0FFjhhxMBZs54p1xmmJqff8ZQ4KGy2uHq55iGL3kD84-dykTFTllt7d3dQ_VyNh37MxKjfqbga90IqaXaeo2aApLEkfqEfsvqxwdkOedY2Ma4TQXeoDgTSX8HWWdVaUV9Qf2FzSGUOpRIgC7bw36YnOkSWk0QaYhEGJGPucg49BL10dxTaA1RDokIe6gGL2fbHf4fOP0LEDgH9KcsKeaP90WCWeQSNIrSKH3QmTCsMHHnqF1o8BIHt0p3R2100mwZdVFjny5DA4B2DEI1N0v44yLeEL0B5M0bWDnL05Q3iGx2j1o8CuMeEL0hAC0BGTYg0AqCRoqShuc32CXQQMZm9mklGGSzVSXx3zuwIz2j7HHFcIz1oxCbak4R01n2x-ckYuS863T05yMFJvrRZzh6KCqxEZJ2RLlgUryub5eVakXUNrFRNlwjAFIwVDvIwNs2XoiJpAs66HnKWYOxyQRewH61rp8pkSR9XklvqxPx3uGS0CuW0rS_8YMhHGhi18VOLeDEmPT06y9fpi1kFHKJLacJIeHh4OSe-zwZKuJIKpxCWJB62CDbwRPHg6XPCiKyPMemGEst5LrW400NprOhHQCGMUQz57kQxnW3e3mJb5mpj7FpyBMHAEA6KFb3ZWBEsYo2kMRAs0AvWIYP2bigI2Jn92REXRCfCKwnOZf69s6CLyWrFATEXB17G2T30PaNLo_fjxoplz62ZoSVjY0A90VtFoY_I_pgkjxcLTTd_kpKd-tAOlxMWnTkP_5q9LZcd_U4sRvvprXZdTTrtNQJ7yraUBL178bYzwRGAvaqLiVfSU5pj9rlkpzfigcFFa7-Ti2-Z7jmGa0OK8bwRyuNPwR5ul5vEXtl2z96rZ7Ne6zzazcxLJgVDPxtNl9MLAoHeHaquvePgvKAfL2Qp2As34wXYMRyeSHAS1BaHLcPn7y4ujNygctbCQBPB6tWX6L1LxogfmcdmbOT0eFFaO5SXbhSBQfS4QjWe9_UrBSwAAX4rPcd98M~2?etext=2202.U2Y9sRWod5Im4pK4Ue_dyHtxsB0SXtTNFjxh2dUnDY14hfd8AVWlP9DGB5gGlMD0cHpoc3dxbHBtdmxnbHBvcQ.ffcb415baf80421c83d33fbd432c154402dd5b9e&amp;from=yandex.ru%3Bsearch%26%23x2F%3B%3Bweb%3B%3B0%3B&amp;q=%D1%88%D0%B0%D0%BC%D0%BF%D1%83%D0%BD%D1%8C+%D0%BE%D1%82+%D0%BF%D0%B5%D1%80%D1%85%D0%BE%D1%82%D0%B8&amp;baobab_event_id=mmlzede6tn" xr:uid="{5DB6239E-0768-4717-A729-625E6541C539}"/>
    <hyperlink ref="L118" r:id="rId86" display="http://ozon.ru/" xr:uid="{E1106014-2E3B-4701-84A6-634687CDC015}"/>
    <hyperlink ref="L119" r:id="rId87" display="http://podrygka.ru/" xr:uid="{54817924-1452-4684-9430-41578AB05BE3}"/>
    <hyperlink ref="J125" r:id="rId88" display="https://wordstat.yandex.ru/?region=all&amp;view=table&amp;words=pantene" xr:uid="{9EC4D973-907B-4791-9980-B52B70FA44B9}"/>
    <hyperlink ref="L125" r:id="rId89" display="https://pantene.com/" xr:uid="{0226E0C0-FE10-42C6-84D0-0DE6D3317121}"/>
    <hyperlink ref="L126" r:id="rId90" display="https://www.podrygka.ru/catalog/brand_pantene_pro_v/" xr:uid="{B3F8C726-8D43-49EB-8E74-DA219433C568}"/>
    <hyperlink ref="L127" r:id="rId91" display="https://www.wildberries.ru/catalog/tags/pantin-shampunb-i-balbzam" xr:uid="{A7A81CAE-13D8-48FD-82D0-3BA13ABABE9F}"/>
    <hyperlink ref="J133" r:id="rId92" display="https://wordstat.yandex.ru/?region=all&amp;view=table&amp;words=%D0%BF%D0%B0%D0%BD%D1%82%D0%B8%D0%BD" xr:uid="{CB8CA71B-F7C6-4F4F-AD5C-722D53B01C17}"/>
    <hyperlink ref="L133" r:id="rId93" display="http://podrygka.ru/" xr:uid="{D499A8BA-B412-40B8-95FD-44F2826FA437}"/>
    <hyperlink ref="L134" r:id="rId94" display="http://apteka.ru/" xr:uid="{CFD05750-B3C5-4896-B7FE-B24859C087D0}"/>
    <hyperlink ref="L135" r:id="rId95" display="http://ozon.ru/" xr:uid="{201B50B3-E899-4964-90D1-10DED3B96EBE}"/>
    <hyperlink ref="J143" r:id="rId96" display="https://wordstat.yandex.ru/?region=all&amp;view=table&amp;words=%D1%88%D0%B0%D0%BC%D0%BF%D1%83%D0%BD%D1%8C%20%D0%BF%D0%B0%D0%BD%D1%82%D0%B8%D0%BD" xr:uid="{1659F0C9-DDD4-4461-8EB9-277E9CC731F9}"/>
    <hyperlink ref="L143" r:id="rId97" display="http://podrygka.ru/" xr:uid="{FE514730-9487-480F-967E-51DC8DFA4F11}"/>
    <hyperlink ref="L144" r:id="rId98" display="https://goldapple.ru/" xr:uid="{42063018-592D-4C46-9FC2-E00EE386B96C}"/>
    <hyperlink ref="L145" r:id="rId99" display="http://apteka.ru/" xr:uid="{9D7021D6-8EB6-4038-92F5-0C63D6A9448D}"/>
    <hyperlink ref="J152" r:id="rId100" display="https://wordstat.yandex.ru/?region=all&amp;view=table&amp;words=%D0%B1%D0%B0%D0%BB%D1%8C%D0%B7%D0%B0%D0%BC%20%D0%BF%D0%B0%D0%BD%D1%82%D0%B8%D0%BD" xr:uid="{5BC7C682-3B49-44E8-B89F-C75972A86692}"/>
    <hyperlink ref="L152" r:id="rId101" display="http://ozon.ru/" xr:uid="{E32EFB85-2598-4432-B582-45DF031D6325}"/>
    <hyperlink ref="L153" r:id="rId102" display="http://podrygka.ru/" xr:uid="{CF008246-584C-44D1-9E9B-42821162B92E}"/>
    <hyperlink ref="L154" r:id="rId103" display="https://goldapple.ru/" xr:uid="{FEE05C52-8379-4E15-A6EA-291CB42401FA}"/>
    <hyperlink ref="J160" r:id="rId104" display="https://wordstat.yandex.ru/?region=all&amp;view=table&amp;words=%D1%80%D0%B5%D0%B9%D1%82%D0%B8%D0%BD%D0%B3%20%D1%88%D0%B0%D0%BC%D0%BF%D1%83%D0%BD%D0%B5%D0%B9%20%D0%BE%D1%82%20%D0%BF%D0%B5%D1%80%D1%85%D0%BE%D1%82%D0%B8" xr:uid="{EF30A201-6300-427D-8A4C-68E15123362C}"/>
    <hyperlink ref="L160" r:id="rId105" display="https://stolichki.ru/clubs/beauty/healthy_hair/luchshie-shampuni-ot-perkhoti" xr:uid="{0DDC2645-EDEC-40F0-931D-49264F4C14E1}"/>
    <hyperlink ref="L161" r:id="rId106" display="https://megapteka.ru/specials/luchshie-sredstva-ot-5369" xr:uid="{0420632E-5C36-4FCD-8F93-DD65DB5F130C}"/>
    <hyperlink ref="L162" r:id="rId107" display="https://www.proficosmetics.ru/catalog/dlya-volos/shampuni/perkhot/top10/" xr:uid="{80AA8726-40A0-4445-9CCC-AEEEB5750484}"/>
    <hyperlink ref="L163" r:id="rId108" display="https://www.lamoda.ru/blog/article/13-luchshih-shampunej-ot-perhoti-po-otzyvam-muzhchin/" xr:uid="{1F617E3A-ECAE-4514-9A2F-986FF0E213B9}"/>
    <hyperlink ref="J171" r:id="rId109" display="https://wordstat.yandex.ru/?region=all&amp;view=table&amp;words=%D0%BA%D0%B0%D0%BA%D0%BE%D0%B9%20%D1%88%D0%B0%D0%BC%D0%BF%D1%83%D0%BD%D1%8C%20%D0%BB%D1%83%D1%87%D1%88%D0%B5%20%D0%BE%D1%82%20%D0%BF%D0%B5%D1%80%D1%85%D0%BE%D1%82%D0%B8" xr:uid="{7943441C-48B8-4A6C-85AB-9403743333CC}"/>
    <hyperlink ref="L171" r:id="rId110" display="https://yabs.yandex.ru/count/WtuejI_zOoVX2Lc10uKR0DDpnCmj7di2Pfy0Du5j0jgcaYE5MX3mNa10XpwVovqzs-_S-QwldQ_VyNh37QwpX5qDaKEbJhj4D2X43kq1uKG1eWGqA4G9F2X42QSz1GfXL5GYbmA5oADFvtGQVKgXpcU9A508kmGKA4I96oX4YIUG3HIbXh0M6HMLW593bC2f8KhSr10bdjGG9Mng22Wq6isVK2VKYKUbKLkQGw5s2Iarn2sTFf_sRJjpw3DwvpQUI-iILQ4VfHaoX8Qk9kmVf_rpFw5IwxDgspTGRjz0KIhqXaAfqsWjf6Gq0ybwL1Sj7H5HPoJLIbGae1irQXfK6dKHTUYe5hfHmqW6TKQIqP5L1lLeX16H4TBH22MX6aP5GZYix80fcopiufho54ebp4qL4deF1Xr74ur1wcg4swOSYASAq78WbYf0ou4ugW0j1-8T1MWv46SBq78Wrb60bWCnL05QiYzqOapoX4kmYOg0SGmlhPolYRuA8YmQuEL0JfSMIvATMFJur7dKhgb3DQHvT9fFfT2eT3gDuhSDlMsxdZfpAJHgsy_e_RobKfi53hR45yKeGBfrIYPll6CBwe1m83cVRvXil9uxPRFxGC0Du00sSBsMDr6A5LY9Zp2jXXs3Be2tX5CH0RZqL4tPCsrfcweHz-YwhjVeD974j2z3i8mnqd1fccqK6agsJ15VYHeyOCjTLGS81F3bWAvb0sC8c-YYfQMbfQNLxFDQMO8X6m3XdQBWdAEVduMjYIajmd8mzAOixA39AfHlhe0fc9iymXIsde8ECw5iuL7_nf2REXRCfEjYCM8wHgTXp5-7-Lv0tCBrOuUv2O1E1WEoBgvVKszvvt_ZX2dn3-iWCdxmX1ry_nl3G_1xOtW8Vku4H_tlEcFprtx8ulUp7xBuCStDFo3CSlCF27Eywxgkq-QPjY-FJ0EKzKPw7w2iDz9RvkxBFsn7NQGd_x0TX7j-J7jm0asSr9dzrpSH0VAewBUqhZCr4G7ogEYrVv8Dx3pdizxhlio5t0MhTX-FHpGpLogLIg4r8oqsaqdv0r0z-ehtJ0027VmW4VEmEEtI1HbYT0Koqttok-SmfGgXATXeECytsz9-6JR2sQIntNKL6VFmu4kNDqKcEuRl_i8E_fsogfZctz5tcKZNwJ7ciRW5Qr9KId1s6As45YNrhHBdyTq0~2?etext=2202.iDqxkV9MGMXknPPjOquBFbPipbyHWFNEcKIY7rLsJVL1Ui2L7QIEjwUb5619GbpJ-G1S2ujXklQ1d3nBTRXtmnl6aWtoZHRxd2VoamZ5bGQ.5cb948a5941a65967c8fdfd5b77289ecd97014ca&amp;from=yandex.ru%3Bsearch%3Bweb%3B%3B0%3B&amp;q=%D0%BA%D0%B0%D0%BA%D0%BE%D0%B9+%D1%88%D0%B0%D0%BC%D0%BF%D1%83%D0%BD%D1%8C+%D0%BB%D1%83%D1%87%D1%88%D0%B5+%D0%BE%D1%82+%D0%BF%D0%B5%D1%80%D1%85%D0%BE%D1%82%D0%B8" xr:uid="{77CFBA4A-1851-436C-988A-F41C1357D65D}"/>
    <hyperlink ref="L172" r:id="rId111" display="https://stolichki.ru/clubs/beauty/healthy_hair/luchshie-shampuni-ot-perkhoti" xr:uid="{355758B8-8BA3-4248-A449-D6CC34EA7968}"/>
    <hyperlink ref="L174" r:id="rId112" display="https://zdravcity.ru/blog-o-zdorovie/vybiraem-s-ekspertom-shampun-ot-perkhoti/" xr:uid="{AF4FD0FD-866F-47BE-89D3-6A387E11DBE8}"/>
    <hyperlink ref="J181" r:id="rId113" display="https://wordstat.yandex.ru/?region=all&amp;view=table&amp;words=%D0%BA%D0%B0%D0%BA%20%D0%B2%D1%8B%D0%B1%D1%80%D0%B0%D1%82%D1%8C%20%D1%88%D0%B0%D0%BC%D0%BF%D1%83%D0%BD%D1%8C" xr:uid="{D088975A-43D7-4E8E-834E-E42D67D73641}"/>
    <hyperlink ref="L180" r:id="rId114" display="https://apteka.ru/blog/articles/pro-uxod-za-soboj/kak-vybrat-shampun5f322c1307642248c30e46dd/" xr:uid="{068A1AFD-82CC-4986-8165-22BBB855CA4C}"/>
    <hyperlink ref="L181" r:id="rId115" display="https://www.aroma-butik.ru/articles/kak-vybrat-shampun-po-tipu-volos/" xr:uid="{41F1C1C4-8438-46EE-91C7-A351E3E521AC}"/>
    <hyperlink ref="L182" r:id="rId116" display="https://stolichki.ru/clubs/beauty/healthy_hair/vybiraem-podhodyashchij-shampun-dlya-zdorovya-volos-pod-vash-tip-kozhi-golovy" xr:uid="{3888F3BC-0AE6-4597-BD80-B62BF72ED5F2}"/>
    <hyperlink ref="L183" r:id="rId117" display="https://master-om.com/blog/kak-vybrat-shampun-dlya-volos-strategiya-ukhoda/" xr:uid="{3144E8EF-52B6-40F2-8422-8AA0425FB764}"/>
    <hyperlink ref="J189" r:id="rId118" display="https://wordstat.yandex.ru/?region=all&amp;view=table&amp;words=%D0%BA%D0%B0%D0%BA%20%D0%B8%D0%B7%D0%B1%D0%B0%D0%B2%D0%B8%D1%82%D1%8C%D1%81%D1%8F%20%D0%BE%D1%82%20%D0%BF%D0%B5%D1%80%D1%85%D0%BE%D1%82%D0%B8" xr:uid="{57A69DFA-EC7E-4B8F-AC71-F6C09CA0D921}"/>
    <hyperlink ref="L189" r:id="rId119" display="https://probolezny.ru/perhot/" xr:uid="{1D3AEAE9-782F-4A67-9B7B-B2FDCE0E8645}"/>
    <hyperlink ref="L190" r:id="rId120" display="https://gemotest.ru/info/spravochnik/simptomy/perkhot/" xr:uid="{362E156A-B33D-4D61-B1B6-C9C4CA591739}"/>
    <hyperlink ref="L191" r:id="rId121" display="https://megapteka.ru/specials/luchshie-sredstva-ot-5369" xr:uid="{D4EB83A6-FEF3-4555-BC11-CC3B8D920DBB}"/>
    <hyperlink ref="J197" r:id="rId122" display="https://wordstat.yandex.ru/?region=all&amp;view=table&amp;words=%D1%81%D1%80%D0%B5%D0%B4%D1%81%D1%82%D0%B2%D0%BE%20%D0%BE%D1%82%20%D0%BF%D0%B5%D1%80%D1%85%D0%BE%D1%82%D0%B8" xr:uid="{5F892247-0239-4298-8261-B9E02DF6EE51}"/>
    <hyperlink ref="L197" r:id="rId123" display="https://www.ozon.ru/category/lechebnyy-shampun-ot-perhoti/" xr:uid="{809F56D3-6444-4DC9-B301-89EB863EA35D}"/>
    <hyperlink ref="L198" r:id="rId124" display="https://apteka.ru/product/mirrolla-shampun-ot-perxoti-s-ketokonazolom-150-ml-5e3265d8ca7bdc000192b713/" xr:uid="{3F3A4776-2F8F-4F8D-ADC9-4CEF7C0562B6}"/>
    <hyperlink ref="L199" r:id="rId125" display="http://gorzdrav.org/" xr:uid="{F940D4D5-8546-433E-AA3D-4A70FFA00758}"/>
    <hyperlink ref="L200" r:id="rId126" display="http://stolichki.ru/" xr:uid="{82A474F6-F740-4B34-8CD7-266476E33ED5}"/>
    <hyperlink ref="J206" r:id="rId127" display="https://wordstat.yandex.ru/?region=all&amp;view=table&amp;words=%D1%88%D0%B0%D0%BC%D0%BF%D1%83%D0%BD%D1%8C%20%D0%BE%D1%82%20%D0%BF%D0%B5%D1%80%D1%85%D0%BE%D1%82%D0%B8%20%D0%BB%D0%B5%D1%87%D0%B5%D0%B1%D0%BD%D1%8B%D0%B9" xr:uid="{66602344-BCE9-4A87-AD98-385CDCC1351F}"/>
    <hyperlink ref="L206" r:id="rId128" display="https://apteka.ru/product/mirrolla-shampun-ot-perxoti-s-ketokonazolom-150-ml-5e3265d8ca7bdc000192b713/" xr:uid="{A94F62E4-3831-4C60-A39C-002BC274E455}"/>
    <hyperlink ref="L207" r:id="rId129" display="https://www.ozon.ru/category/lechebnyy-shampun-ot-perhoti/" xr:uid="{F13BC587-6AB7-4B47-8E16-8503897E8889}"/>
    <hyperlink ref="L208" r:id="rId130" display="https://planetazdorovo.ru/catalog/lekarstva-i-bad/kozha/seboreya-perkhot/sebozol-shampun-ot-perhoti-100-11780502/" xr:uid="{72FF5486-5C99-4935-B2F2-0B133DBB8252}"/>
    <hyperlink ref="J214" r:id="rId131" display="https://wordstat.yandex.ru/?region=all&amp;view=table&amp;words=%D1%88%D0%B0%D0%BC%D0%BF%D1%83%D0%BD%D1%8C%20%D0%B1%D0%B5%D0%B7%20%D1%81%D1%83%D0%BB%D1%8C%D1%84%D0%B0%D1%82%D0%BE%D0%B2" xr:uid="{013BA7F8-D6F1-4531-B095-825B98649BB3}"/>
    <hyperlink ref="L214" r:id="rId132" display="https://goldapple.ru/s/bezsulfatnij-shampun" xr:uid="{A4B6A9F3-5B21-4D04-AB6E-5EE0B4D847FD}"/>
    <hyperlink ref="L215" r:id="rId133" display="https://www.proficosmetics.ru/catalog/dlya-volos/shampuni/bez-sulfatov/" xr:uid="{BAD00A4F-17E2-4867-A717-3EC3A10A4305}"/>
    <hyperlink ref="L216" r:id="rId134" display="https://www.ozon.ru/category/shampuni-bezsulfatnye/" xr:uid="{8938D952-51C3-48EC-B719-51FD81A4A235}"/>
    <hyperlink ref="L217" r:id="rId135" display="https://randewoo.ru/statiy/bessulfatnye-shampuni-top-10.html" xr:uid="{C3C1DF42-6F85-49F3-B1B5-3C055185A709}"/>
    <hyperlink ref="J223" r:id="rId136" display="https://wordstat.yandex.ru/?region=all&amp;view=table&amp;words=%D0%B1%D0%B5%D0%B7%D1%81%D1%83%D0%BB%D1%8C%D1%84%D0%B0%D1%82%D0%BD%D1%8B%D0%B9%20%D1%88%D0%B0%D0%BC%D0%BF%D1%83%D0%BD%D1%8C" xr:uid="{74BBF20F-BA47-4899-98BD-24EB2E44A104}"/>
    <hyperlink ref="L223" r:id="rId137" display="http://ozon.ru/" xr:uid="{85707195-4381-4E2C-A689-910D62487F75}"/>
    <hyperlink ref="L224" r:id="rId138" display="https://yabs.yandex.ru/count/WpiejI_zOoVX2Lb90sqP0ECkixxMCW_Hz0JCtZ01lQda2BWA0juB2EZGvtEvisVxdJlVzRNpzJjURxZ3lPzEQ6vFeqveZaUTKXjwIssU6oHiwz4D9Hwb819LAeaSAdNQF4XALYGIDa-IqH699ACZ4aP5F4TK4jOYeoAU91BE9yyH2G1OYQX5FqTBHaWoIE09WOJKVjvIQFwKGdbaa80-eTCe5CUZKfk7Ic89wIV9oEY8Y3eZwUU6qXBL2lI3P5GjijRu2JeA-g5nPFq1il53HBKgKM_ytE0f8Z6ryoW-bJgbF44_GaLBHqJK6KaaXgnAILOIITKYAXBG21isR0ZkW2cRBEgKS824gbGEq40Gg0zC33gEEant6mAP2cX25n2c2_0cK02N0_5K0LeEn585Q3aGHnMWvK2yem0j1-9i0LeEn3eAq78WXYf06yDBA-Thuap5na41369okhIVhWKobzRKeHfH_1brFg7IfoszdSvdr7xQTfrBexWpVzxFv_syfL9x1GxMDw4ovuNiCCaK83VUHYL21X0AEfzlc6oydZjbi_j0m0tW03PmlLONoHKfLc0bFiAq6dOCkW3U4avt0d3fgPgoTzoA2giHEy2awtgDJXD9JFio1CiO8msNfjb6eQ5aonJnbQZ10xRSLNM0G01V3kXQBpW0mZj5mJb7FpyBMnDLH33rEC0dMjX1arKetrm1Kp0tUUnHs3PrB1sZqp3chyDyBnWwy2LmX04Q281E1WEoBgvVKszvvt_Zp6FY3qS7vpxO9ixhVo_mwFlU2ppwFZS34VtlrQh1hrt03Uzd5t33OvgNP2_CyfBiXJdUTLtNQNFJocl7u0IoHdgVGDP8RtsK7XSwI__vyW_JwmGz-OTT2O7oOzg34t2o7RppNzyabqMbwBUqhZCroMLHANhjdnpIrFVbizxh_cehfPoN9uPoTaGpSwLIgHHQ0q78Zj4nC2DG_fyNF4yyGENA7lpls8D9ot_MZxL2eGSHm8NBX8LhW0qfwzxAkMl9rRqJOFZpnQR8DI8-LxLayPK0ylu2m_qf32DyaNyt3-eKdKjcyfWdP66BLS5zBc81HTq4rmwPjTwYEIsit5FYFG00~2?etext=2202.2vBCcGGJAJM5tnu5zO37XoU6uJOJNwyCPKCsnO3kIg71huu7JcVskNp3k8QjEJJD_kXwhi8-oYTzyRYNoK1Pb2lwdWVma3l5cHl1ZGdoZWY.1fbf81fb3be7bb640dd20038fd7ac2d38dfce2ea&amp;from=yandex.ru%3Bsearch%26%23x2F%3B%3Bweb%3B%3B0%3B&amp;q=%D1%88%D0%B0%D0%BC%D0%BF%D1%83%D0%BD%D1%8C+%D0%B4%D0%BB%D1%8F+%D0%B6%D0%B8%D1%80%D0%BD%D1%8B%D1%85+%D0%B2%D0%BE%D0%BB%D0%BE%D1%81" xr:uid="{297EF394-67A9-4297-B56F-95860D9F0324}"/>
    <hyperlink ref="L225" r:id="rId139" display="https://yabs.yandex.ru/count/WmGejI_zOoVX2Lco0hKN0FFjhhxMBZs54p1xmmJqff8ZQ4KGy2uHq55iGL3kD84-dykTFTllt7d3dQ_VyNh37MxKjfqbga90IqaXaeo2aApLEkfqEfsvqxwdkOedY2Ma4TQXeoDgTSX8HWWdVaUV9Qf2FzSGUOpRIgC7bw36YnOkSWk0QaYhEGJGPucg49BL10dxTaA1RDokIe6gGL2fbHf4fOP0LEDgH9KcsKeaP90WCWeQSNIrSKH3QmTCsMHHnqF1o8BIHt0p3R2100mwZdVFjny5DA4B2DEI1N0v44yLeEL0B5M0bWDnL05Q3iGx2j1o8CuMeEL0hAC0BGTYg0AqCRoqShuc32CXQQMZm9mklGGSzVSXx3zuwIz2j7HHFcIz1oxCbak4R01n2x-ckYuS863T05yMFJvrRZzh6KCqxEZJ2RLlgUryub5eVakXUNrFRNlwjAFIwVDvIwNs2XoiJpAs66HnKWYOxyQRewH61rp8pkSR9XklvqxPx3uGS0CuW0rS_8YMhHGhi18VOLeDEmPT06y9fpi1kFHKJLacJIeHh4OSe-zwZKuJIKpxCWJB62CDbwRPHg6XPCiKyPMemGEst5LrW400NprOhHQCGMUQz57kQxnW3e3mJb5mpj7FpyBMHAEA6KFb3ZWBEsYo2kMRAs0AvWIYP2bigI2Jn92REXRCfCKwnOZf69s6CLyWrFATEXB17G2T30PaNLo_fjxoplz62ZoSVjY0A90VtFoY_I_pgkjxcLTTd_kpKd-tAOlxMWnTkP_5q9LZcd_U4sRvvprXZdTTrtNQJ7yraUBL178bYzwRGAvaqLiVfSU5pj9rlkpzfigcFFa7-Ti2-Z7jmGa0OK8bwRyuNPwR5ul5vEXtl2z96rZ7Ne6zzazcxLJgVDPxtNl9MLAoHeHaquvePgvKAfL2Qp2As34wXYMRyeSHAS1BaHLcPn7y4ujNygctbCQBPB6tWX6L1LxogfmcdmbOT0eFFaO5SXbhSBQfS4QjWe9_UrBSwAAX4rPcd98M~2?etext=2202.U2Y9sRWod5Im4pK4Ue_dyHtxsB0SXtTNFjxh2dUnDY14hfd8AVWlP9DGB5gGlMD0cHpoc3dxbHBtdmxnbHBvcQ.ffcb415baf80421c83d33fbd432c154402dd5b9e&amp;from=yandex.ru%3Bsearch%26%23x2F%3B%3Bweb%3B%3B0%3B&amp;q=%D1%88%D0%B0%D0%BC%D0%BF%D1%83%D0%BD%D1%8C+%D0%BE%D1%82+%D0%BF%D0%B5%D1%80%D1%85%D0%BE%D1%82%D0%B8&amp;baobab_event_id=mmlzede6tn" xr:uid="{A1B7957F-00A2-4685-B97D-98C25E01564D}"/>
    <hyperlink ref="S3" r:id="rId140" display="https://yabs.yandex.ru/count/WmyejI_zOoVX2LbI0mqO0FFhfnAO0IPWzeO9w4qbIFA08E1T8g13dy_bpfxjT-wyuSxNxtYzuGwtAeHaEvyyCuvoI9tHw7CgXTfFfpItxJlFRPwg43L73fL6epZ-Z49vga8oSZZnfzG9lMsx-bEZIgqAqVWvglx0YTt4MJyfFpcnLpmdTZv1LFd9YTl4pYU8hpXE_1NJYOc8c_o6A8rWLJ8n8mY9QarIij90eXADTy2KJHPvF-vi8AL_eF0A279j67GSJIoUnTWXgjpGOIfovjefe0bTG9YUB83BWNYg02q7Oga2j1o8emhGSY3UKO2M0t6s02q7OXq5Q3aGGnMWtU3AD-Thel39zqXd3Chf8ZKQaTJ0SSfGouyYTMa3V5dq-DHH_FcyxUSTdKAVjutRKcZq6RNhF7S-R_oUHg7HvosLsYnmi3Xug9tx18dOPRdnqXYIjwEA4KYSuis-ZHfhycevds-ORBpUpCjczqu0Du03sC0TCKQ7PcHBYOymhOOTWow0juJJdG1Ssic17Rgkr-WSb7JXOaKAoDiU3PUcsOQ8KdJXfI9EP_20BNTL7I0Gm9S5MfsxOmYRS2pwmQE2mWM4TEpcAPA2Nn8jR4reQUoWPBkZmy8Ecgn2-UOAc8AvoKEFmZO6IiU2cRIwKuoO6QFJC6OCoX1-X1310uKmNI4BJNa_MNM9JJqMpQytysfolPbNS_U_4RT2_66lXChgWpCubV-t2VdaUvkGJput1kxmxogwb7rjXo21FziXI23Jl6JYmYmlcRWq-URjkgxhj9avv77na6wRfBTUwyjUx4vhqfDzaZv7iH_J7eo0baUtAV_5mPYua7Mmsw3VSIc5YM0chn0mh_sJJ6jnUJxhlUwx94aKalO8jIDyH3DpfLAf55gJCe3DRA7yTZOwR40zm0qA7Fo9WM7WpfuSl60Idgr12RTGNbkamFbX29WczzSSV8fdGuQ2IN4BZ87S75T5rd1MX-n1OBXKlwQAuXON65yfz1qivoZ7BotKKPPzGeDVamINPbpfDdO0Tj5rgqIRYJ80~2?etext=2202.07OjtL3e8P7xMkkOy367XmLjQonxi-c4uh5TuJcPeU13Y2hjZmpvbHR2bWZwcW91.ac2c56c468a7178fc9f2db81eb4f424a04566d29&amp;from=ya.ru%3Bsearch%26%23x2F%3B%3Bweb%3B%3B0%3B&amp;q=%D0%BF%D0%BE%D0%B4%D0%B3%D1%83%D0%B7%D0%BD%D0%B8%D0%BA%D0%B8&amp;clid=1601&amp;src_pof=1601" xr:uid="{8186C8AC-F35F-4265-9CFE-A452A9AA9343}"/>
    <hyperlink ref="S4" r:id="rId141" display="https://yabs.yandex.ru/count/WfGejI_zOoVX2Lc70ZKK00DbZGmOUXCmUyC4zAOI97b04F1UG427Ff_BdJtRxzpvhg-Thz_nUiCTRfMAE-yxnssdr9xcTebg4HK9w1e2j_CIIa7M482MaaO8OPUmog0UXK2Y3YqT6HsLK48oIZ8n0ZM4caOH2IJhq90rQOGD6pQ-Ti2KJHPvF-vi8AL_eF0A279j67GSJI3oyV7nyIdXG3nLW9O3iLG1MWx4KGLeEH3lA43BWJXRW9O3iOu2j1o8eGhGRd3bc_Cr8KLA1ZlA-CpfqdrgJx0iUdpgAFwydxVzlADJwFEsSLiAZJwZTftdpkUDtzCeDFgyfLAR1GuM1m-rSvyW4RiiL_G-qF1zE9zlc6oytipBPlTE03U00zZ0pK5y4pEofSH7c5R3Za4Nm5l2wKu0BktaWAxhUetEGKaNBbQaWBpjqN1fccs8A4KNNYhYT0OFs79NrG420NnPeDMvkv2EtJn5Kl1BeeMjYIeLT80mpdbXOGTDLg5ySmLCmTpa4QQmZO7IiSmOdOOnmtmnA4Fu4K843nJ2T8KiDENzPDKbDlLODB_UpAl9zMPUpTt_HXy6LUM7FvEPumT_i_P_FnCat_kP8FdSfYFXtpUWANwj1Y2JFwi1o2JJJ7SDcMMwQyWSCvTUvdBVTLtNQJDpoEFYuGIoHdgVGDP8RoNmvGw7JRmy-NTDYedzcFRW19BS9LBvhs_guRT5q6zfNMTgwk6tHT1h_oJQbeaEd_KqCrSgbKgXDIa3s4iToZyfmfSDg0UuGG4O_1Ic0LVJfJhWZRh9QVWk_2oZiglE0-CZU93hUqHlsFfTl_B6R5J5cn3JMr7NmMqkd2TccQugL66J9k0qqFA2uk-K1SYYbChtLgdlUqq0~2?etext=2202.07OjtL3e8P7xMkkOy367XmLjQonxi-c4uh5TuJcPeU13Y2hjZmpvbHR2bWZwcW91.ac2c56c468a7178fc9f2db81eb4f424a04566d29&amp;from=ya.ru%3Bsearch%26%23x2F%3B%3Bweb%3B%3B0%3B&amp;q=%D0%BF%D0%BE%D0%B4%D0%B3%D1%83%D0%B7%D0%BD%D0%B8%D0%BA%D0%B8" xr:uid="{C64DB74C-8311-43D8-AEFD-08A687969F22}"/>
    <hyperlink ref="S5" r:id="rId142" display="http://ozon.ru/" xr:uid="{B858A2F2-4218-48C0-8B5E-1357695BFDE8}"/>
    <hyperlink ref="S6" r:id="rId143" display="https://www.detmir.ru/catalog/index/name/podguzniki/" xr:uid="{34717EDB-2A82-49E4-B863-0FEA609AF669}"/>
    <hyperlink ref="S11" r:id="rId144" display="https://yabs.yandex.ru/count/WmmejI_zOoVX2LbW0_KN01Difmr8KKl0x0qJq9jAa2GX8-1T8g13dy_bpfxjT-wyuSxNxtYzuGwtAeHaEw4vdZkVDXI7yimuod5BRsd-bEAsFRsZ-6rBSvkdAaJDuNJYqkaKXqAXF5KX6JcYpoX-tr7RhlxKg59_xf-a8QGb6zQV6qhMwizHzUU8wCQ8hpXE_1NJYOc8c_o6E9yWi7vkuZQnymd2AwOJEvyWfFpen6xYCN49fH6iIYPc125HhKcAEs3A9eky8eX9fYZz0t8uJfy667GSxqZy40feGXSGfYKBu78WdYf0ou5OgW0j1-Ae0hGSY7SKeEL0d2r0ou5OHm5Q3iHG1MWtkFBD-Peut9CMOGBJ8QUhjEDlDs1n2X8k4ozI-W1V5Zq-jJH_uZcEsr5x2iMdJkTq2gtlv_sqRwSJZqQVjrHghy31uk2XTkuJ96ANvSPBOqZUZYf6876AD_iXbGiBe2JEvnic6wytyxBPlHF03U00Dd2TWLbNDcnz7Q6HBIK-mhGQTWow05ul09TsSc27hkirEWSbNRXOaGBojaV3fMcs8Q8KNNYfYDCPF63BNLK720JmPO5Mv-uOmYOOlnTOUVBm5TAncwT82dv9jB0rWGZN93NZIw257JHPXVBD5J05SvE77eLj39IE1JDfTQSOCJD6fs7C63mD0Kww3yZ1T8KiDENzPDKbDlLODB_UpAl9zMPUpTt_nWsFuX_-04hkWvjoVV_B51D_BrDC_BaVIFVlDaJ0lXR35SYVnN05acdsR8BCicSJRFBDstLTrsdppBUAgunkcwItJ3vVzcTyFSeysVTndV3ycFPW1DO0mRp-Uvl59Bbw4ocBViVrBddNlLnjlTOdsR7MvpYP29dboP2niIEQcIkLIgNGsXIopGH1-Q4t7hXZWB007Hlybu5XOFUTCFt3O0h5Bt339BlRbxoPwKW8fYkH9U3WJwVzCEnrAiJl8GxdfzcKn0BrkT_B9fgQaA7c7NuuISu_7AYpfFc43vqi4fpwkLBgqm2xswc7VdPjbLLurWG0~2?etext=2202.K2uUa7A4XQMATcYJ6dRJG44wR9r-5N4gnttwMrQ0xjmhTIGeqD4dJN8ymhWxh-yIb3hpdmthdW5tbHJqZ3Foag.66b391455d19902007d2099a1e74791b44a75180&amp;from=ya.ru%3Bsearch%26%23x2F%3B%3Bweb%3B%3B0%3B&amp;q=%D0%B4%D0%B5%D1%82%D1%81%D0%BA%D0%B8%D0%B5+%D0%BF%D0%BE%D0%B4%D0%B3%D1%83%D0%B7%D0%BD%D0%B8%D0%BA%D0%B8&amp;clid=1601&amp;src_pof=1601" xr:uid="{60C1A13D-94D2-4C2F-B4EE-4DE023906957}"/>
    <hyperlink ref="S12" r:id="rId145" display="https://www.detmir.ru/catalog/index/name/sortforbrand/brand/19286/" xr:uid="{2929D8CF-0C5B-492D-80F1-3B57A4617096}"/>
    <hyperlink ref="S13" r:id="rId146" display="https://www.ozon.ru/category/detskie-podguzniki-7064/" xr:uid="{B421CBF8-ABD9-410C-8066-1A03D7B6C8DA}"/>
    <hyperlink ref="S14" r:id="rId147" display="https://yabs.yandex.ru/count/WfGejI_zOoVX2Lc70ZKK00DbZGmOUXCmUyC4zAOI97b04F1UG427Ff_BdJtRxzpvhg-Thz_nUiCTRfMAE-yxnssdr9xcTebg4HK9w1e2j_CIIa7M482MaaO8OPUmog0UXK2Y3YqT6HsLK48oIZ8n0ZM4caOH2IJhq90rQOGD6pQ-Ti2KJHPvF-vi8AL_eF0A279j67GSJI3oyV7nyIdXG3nLW9O3iLG1MWx4KGLeEH3lA43BWJXRW9O3iOu2j1o8eGhGRd3bc_Cr8KLA1ZlA-CpfqdrgJx0iUdpgAFwydxVzlADJwFEsSLiAZJwZTftdpkUDtzCeDFgyfLAR1GuM1m-rSvyW4RiiL_G-qF1zE9zlc6oytipBPlTE03U00zZ0pK5y4pEofSH7c5R3Za4Nm5l2wKu0BktaWAxhUetEGKaNBbQaWBpjqN1fccs8A4KNNYhYT0OFs79NrG420NnPeDMvkv2EtJn5Kl1BeeMjYIeLT80mpdbXOGTDLg5ySmLCmTpa4QQmZO7IiSmOdOOnmtmnA4Fu4K843nJ2T8KiDENzPDKbDlLODB_UpAl9zMPUpTt_HXy6LUM7FvEPumT_i_P_FnCat_kP8FdSfYFXtpUWANwj1Y2JFwi1o2JJJ7SDcMMwQyWSCvTUvdBVTLtNQJDpoEFYuGIoHdgVGDP8RoNmvGw7JRmy-NTDYedzcFRW19BS9LBvhs_guRT5q6zfNMTgwk6tHT1h_oJQbeaEd_KqCrSgbKgXDIa3s4iToZyfmfSDg0UuGG4O_1Ic0LVJfJhWZRh9QVWk_2oZiglE0-CZU93hUqHlsFfTl_B6R5J5cn3JMr7NmMqkd2TccQugL66J9k0qqFA2uk-K1SYYbChtLgdlUqq0~2?etext=2202.07OjtL3e8P7xMkkOy367XmLjQonxi-c4uh5TuJcPeU13Y2hjZmpvbHR2bWZwcW91.ac2c56c468a7178fc9f2db81eb4f424a04566d29&amp;from=ya.ru%3Bsearch%26%23x2F%3B%3Bweb%3B%3B0%3B&amp;q=%D0%BF%D0%BE%D0%B4%D0%B3%D1%83%D0%B7%D0%BD%D0%B8%D0%BA%D0%B8" xr:uid="{5EBA5122-B6BF-43E7-BFF2-2C23A5724A13}"/>
    <hyperlink ref="S15" r:id="rId148" display="https://apteka.ru/category/baby-child/baby/" xr:uid="{A6DC8205-82E9-4463-B715-30C70F64971F}"/>
    <hyperlink ref="T11" r:id="rId149" display="https://uteka.ru/catalog/podguzniki-i-pelenki-detskie/podguzniki-odnorazovye-detskie/" xr:uid="{D9189326-6A7E-488F-977A-C88912F50BF8}"/>
    <hyperlink ref="T13" r:id="rId150" display="https://uteka.ru/catalog/podguzniki-i-pelenki-detskie/podguzniki-odnorazovye-detskie/" xr:uid="{81B24BDB-69BF-43CD-9617-B9DE89E1085F}"/>
    <hyperlink ref="T14" r:id="rId151" display="https://uteka.ru/catalog/podguzniki-i-pelenki-detskie/podguzniki-odnorazovye-detskie/" xr:uid="{F30771F7-735F-4E79-AFB2-DF5AA60B9607}"/>
    <hyperlink ref="T15" r:id="rId152" display="https://uteka.ru/catalog/podguzniki-i-pelenki-detskie/podguzniki-odnorazovye-detskie/" xr:uid="{08A2C02E-2EEE-4182-9942-2A098D77AD7F}"/>
    <hyperlink ref="S18" r:id="rId153" display="http://market.yandex.ru/" xr:uid="{7BB8AF2A-D26C-4119-96BD-3012F0897F3B}"/>
    <hyperlink ref="S19" r:id="rId154" display="https://www.detmir.ru/catalog/index/name/sortforbrand/brand/19286/" xr:uid="{938DE071-6602-49B2-A4B5-77CE526C1105}"/>
    <hyperlink ref="S20" r:id="rId155" display="http://ozon.ru/" xr:uid="{1F73091B-F5E7-42CB-AF34-DACA1D237391}"/>
    <hyperlink ref="S21" r:id="rId156" display="http://apteka.ru/" xr:uid="{FB896C9F-B614-438F-94A6-0F1F47D0E2AF}"/>
    <hyperlink ref="S22" r:id="rId157" display="https://yabs.yandex.ru/count/WfGejI_zOoVX2Lc70ZKK00DbZGmOUXCmUyC4zAOI97b04F1UG427Ff_BdJtRxzpvhg-Thz_nUiCTRfMAE-yxnssdr9xcTebg4HK9w1e2j_CIIa7M482MaaO8OPUmog0UXK2Y3YqT6HsLK48oIZ8n0ZM4caOH2IJhq90rQOGD6pQ-Ti2KJHPvF-vi8AL_eF0A279j67GSJI3oyV7nyIdXG3nLW9O3iLG1MWx4KGLeEH3lA43BWJXRW9O3iOu2j1o8eGhGRd3bc_Cr8KLA1ZlA-CpfqdrgJx0iUdpgAFwydxVzlADJwFEsSLiAZJwZTftdpkUDtzCeDFgyfLAR1GuM1m-rSvyW4RiiL_G-qF1zE9zlc6oytipBPlTE03U00zZ0pK5y4pEofSH7c5R3Za4Nm5l2wKu0BktaWAxhUetEGKaNBbQaWBpjqN1fccs8A4KNNYhYT0OFs79NrG420NnPeDMvkv2EtJn5Kl1BeeMjYIeLT80mpdbXOGTDLg5ySmLCmTpa4QQmZO7IiSmOdOOnmtmnA4Fu4K843nJ2T8KiDENzPDKbDlLODB_UpAl9zMPUpTt_HXy6LUM7FvEPumT_i_P_FnCat_kP8FdSfYFXtpUWANwj1Y2JFwi1o2JJJ7SDcMMwQyWSCvTUvdBVTLtNQJDpoEFYuGIoHdgVGDP8RoNmvGw7JRmy-NTDYedzcFRW19BS9LBvhs_guRT5q6zfNMTgwk6tHT1h_oJQbeaEd_KqCrSgbKgXDIa3s4iToZyfmfSDg0UuGG4O_1Ic0LVJfJhWZRh9QVWk_2oZiglE0-CZU93hUqHlsFfTl_B6R5J5cn3JMr7NmMqkd2TccQugL66J9k0qqFA2uk-K1SYYbChtLgdlUqq0~2?etext=2202.07OjtL3e8P7xMkkOy367XmLjQonxi-c4uh5TuJcPeU13Y2hjZmpvbHR2bWZwcW91.ac2c56c468a7178fc9f2db81eb4f424a04566d29&amp;from=ya.ru%3Bsearch%26%23x2F%3B%3Bweb%3B%3B0%3B&amp;q=%D0%BF%D0%BE%D0%B4%D0%B3%D1%83%D0%B7%D0%BD%D0%B8%D0%BA%D0%B8" xr:uid="{8FFCFAAB-B954-4A7C-AFDB-EE56A9654F60}"/>
    <hyperlink ref="S23" r:id="rId158" display="http://market.yandex.ru/" xr:uid="{9F35DEC1-00EC-4C70-B904-ADCA0445CCF2}"/>
    <hyperlink ref="S24" r:id="rId159" display="https://www.detmir.ru/catalog/index/name/sortforbrand/brand/19286/" xr:uid="{F652FDAB-9942-4879-B5F4-A41481EBF423}"/>
    <hyperlink ref="S25" r:id="rId160" display="https://www.pampers.com/" xr:uid="{E8BA7424-4B88-4540-ABCE-76F1390B6ADA}"/>
    <hyperlink ref="T23" r:id="rId161" display="https://ru.wikipedia.org/wiki/Pampers" xr:uid="{DCF7BE2C-ACC5-4F2D-9725-CF6EE9ED468F}"/>
    <hyperlink ref="S26" r:id="rId162" display="http://market.yandex.ru/" xr:uid="{447764F5-AB7C-4A5A-B426-40C94DE8EAB9}"/>
    <hyperlink ref="S27" r:id="rId163" display="https://www.detmir.ru/catalog/index/name/sortforbrand/brand/19286/" xr:uid="{8E56BFA7-50DC-4B54-9917-2FF98928D553}"/>
    <hyperlink ref="S28" r:id="rId164" display="http://ozon.ru/" xr:uid="{2D515FDA-7F55-49D2-A340-4F734A4825AA}"/>
    <hyperlink ref="T32" r:id="rId165" display="https://vc.ru/lrate/2682030-luchshie-podguzniki-trusiki-dlya-detei-2026-goda" xr:uid="{8E92BD34-755E-4A01-B03F-7319C4C51A82}"/>
    <hyperlink ref="S33" r:id="rId166" display="http://market.yandex.ru/" xr:uid="{88D58375-1A99-4053-82D3-23F2A3FC08FE}"/>
    <hyperlink ref="S34" r:id="rId167" display="https://www.detmir.ru/catalog/index/name/sortforbrand/brand/19286/" xr:uid="{502CCD4D-204D-40A8-B9B9-1AFE4DCABDE0}"/>
    <hyperlink ref="S35" r:id="rId168" display="http://ozon.ru/" xr:uid="{57785DD0-1EF4-452F-BD41-4369CF3A53AE}"/>
    <hyperlink ref="S38" r:id="rId169" display="http://market.yandex.ru/" xr:uid="{7F59CE7F-2436-4BD8-9589-BAAFE2A22396}"/>
    <hyperlink ref="S39" r:id="rId170" display="https://www.detmir.ru/catalog/index/name/sortforbrand/brand/19286/" xr:uid="{B1A4BE36-95A9-475C-BC46-C4257DCA2547}"/>
    <hyperlink ref="S40" r:id="rId171" display="http://ozon.ru/" xr:uid="{86AD4EB0-6C0B-4B65-9A5C-A833CA5CA918}"/>
  </hyperlinks>
  <pageMargins left="0.7" right="0.7" top="0.75" bottom="0.75" header="0.3" footer="0.3"/>
  <pageSetup paperSize="9" orientation="portrait" r:id="rId17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8</vt:i4>
      </vt:variant>
    </vt:vector>
  </HeadingPairs>
  <TitlesOfParts>
    <vt:vector size="8" baseType="lpstr">
      <vt:lpstr>Сводка</vt:lpstr>
      <vt:lpstr>Допущения</vt:lpstr>
      <vt:lpstr>Прогноз_Выручки</vt:lpstr>
      <vt:lpstr>Затраты</vt:lpstr>
      <vt:lpstr>Денежные_потоки</vt:lpstr>
      <vt:lpstr>Метрики_Итог</vt:lpstr>
      <vt:lpstr>Графики</vt:lpstr>
      <vt:lpstr>Анализ</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Anastasia</dc:creator>
  <cp:lastModifiedBy>Анастасия Курочкина</cp:lastModifiedBy>
  <dcterms:created xsi:type="dcterms:W3CDTF">2026-03-14T11:32:48Z</dcterms:created>
  <dcterms:modified xsi:type="dcterms:W3CDTF">2026-03-16T19:12:55Z</dcterms:modified>
</cp:coreProperties>
</file>